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revo\Dropbox\Excel financial portfolio template\"/>
    </mc:Choice>
  </mc:AlternateContent>
  <xr:revisionPtr revIDLastSave="0" documentId="13_ncr:1_{8D1AC631-3C9A-4258-963B-780F6D7DED4E}" xr6:coauthVersionLast="47" xr6:coauthVersionMax="47" xr10:uidLastSave="{00000000-0000-0000-0000-000000000000}"/>
  <bookViews>
    <workbookView xWindow="-120" yWindow="-120" windowWidth="29040" windowHeight="15840" xr2:uid="{3E4194A4-9695-1446-B5BA-EDCBE8ED5645}"/>
  </bookViews>
  <sheets>
    <sheet name="Summary" sheetId="1" r:id="rId1"/>
    <sheet name="Stock_1" sheetId="3" r:id="rId2"/>
  </sheets>
  <definedNames>
    <definedName name="Dates">OFFSET(Stock_1!$A$53,1,0,COUNTA(Stock_1!$A:$A), 1)</definedName>
    <definedName name="Dividend_Share_Dates">Dividends1[Date]</definedName>
    <definedName name="Dividend_Share_Div">Dividends1[Dividends per Share]</definedName>
    <definedName name="Prices">OFFSET(Stock_1!$B$53,1,0,COUNTA(Stock_1!$B:$B), 1)</definedName>
    <definedName name="Prices_Dates">OFFSET(Stock_1!$A$53,1,0,COUNTA(Stock_1!$A:$B), 2)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2" i="3" l="1"/>
  <c r="E28" i="3"/>
  <c r="E27" i="3"/>
  <c r="E26" i="3"/>
  <c r="I16" i="1" a="1"/>
  <c r="I16" i="1" s="1"/>
  <c r="J16" i="1" a="1"/>
  <c r="J16" i="1" s="1"/>
  <c r="K16" i="1" a="1"/>
  <c r="K16" i="1" s="1"/>
  <c r="L16" i="1" a="1"/>
  <c r="L16" i="1" s="1"/>
  <c r="M16" i="1" a="1"/>
  <c r="M16" i="1" s="1"/>
  <c r="L4" i="1" a="1"/>
  <c r="L4" i="1" s="1"/>
  <c r="M4" i="1" s="1"/>
  <c r="E4" i="3" a="1"/>
  <c r="E4" i="3" s="1"/>
  <c r="F26" i="3"/>
  <c r="F27" i="3"/>
  <c r="F28" i="3"/>
  <c r="F32" i="3" a="1"/>
  <c r="F32" i="3" s="1"/>
  <c r="B31" i="3" a="1"/>
  <c r="B31" i="3" s="1"/>
  <c r="B33" i="3" a="1"/>
  <c r="B33" i="3" s="1"/>
  <c r="B29" i="3" a="1"/>
  <c r="B29" i="3" s="1"/>
  <c r="B28" i="3" a="1"/>
  <c r="B28" i="3" s="1"/>
  <c r="B34" i="3" a="1"/>
  <c r="B34" i="3" s="1"/>
  <c r="B32" i="3" a="1"/>
  <c r="B32" i="3" s="1"/>
  <c r="B30" i="3" a="1"/>
  <c r="B30" i="3" s="1"/>
  <c r="F30" i="3" s="1"/>
  <c r="B27" i="3" a="1"/>
  <c r="B27" i="3" s="1"/>
  <c r="B26" i="3" a="1"/>
  <c r="B26" i="3" s="1"/>
  <c r="E55" i="3"/>
  <c r="F55" i="3"/>
  <c r="J55" i="3"/>
  <c r="A53" i="3" a="1"/>
  <c r="E30" i="3" l="1"/>
  <c r="E34" i="3"/>
  <c r="E29" i="3"/>
  <c r="E33" i="3" s="1"/>
  <c r="A53" i="3"/>
  <c r="F34" i="3"/>
  <c r="J2" i="3" l="1" a="1"/>
  <c r="J2" i="3" s="1"/>
  <c r="I8" i="1" a="1"/>
  <c r="I8" i="1" s="1"/>
  <c r="B4" i="3" l="1"/>
  <c r="B5" i="3"/>
  <c r="E5" i="3"/>
  <c r="E31" i="3" l="1"/>
  <c r="F29" i="3"/>
  <c r="F33" i="3" s="1"/>
  <c r="F4" i="3"/>
  <c r="F31" i="3"/>
  <c r="F5" i="3"/>
  <c r="M5" i="1" l="1"/>
  <c r="K55" i="3"/>
  <c r="C4" i="3" s="1"/>
  <c r="N4" i="1" l="1"/>
  <c r="J4" i="1"/>
  <c r="K4" i="1" s="1"/>
  <c r="O4" i="1" s="1"/>
  <c r="C5" i="3"/>
  <c r="D4" i="3"/>
  <c r="D5" i="3" l="1"/>
  <c r="H4" i="3"/>
  <c r="G4" i="3"/>
  <c r="K5" i="1" l="1"/>
  <c r="H5" i="3"/>
  <c r="G5" i="3"/>
  <c r="O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</futureMetadata>
  <cellMetadata count="1">
    <bk>
      <rc t="1" v="0"/>
    </bk>
  </cellMetadata>
  <valueMetadata count="16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</valueMetadata>
</metadata>
</file>

<file path=xl/sharedStrings.xml><?xml version="1.0" encoding="utf-8"?>
<sst xmlns="http://schemas.openxmlformats.org/spreadsheetml/2006/main" count="86" uniqueCount="72">
  <si>
    <t>Security Name</t>
  </si>
  <si>
    <t>Shares</t>
  </si>
  <si>
    <t>Avg. Purchase Price</t>
  </si>
  <si>
    <t>Current Price</t>
  </si>
  <si>
    <t>P/L</t>
  </si>
  <si>
    <t>Total</t>
  </si>
  <si>
    <t>Position</t>
  </si>
  <si>
    <t>Avg Purchase Price</t>
  </si>
  <si>
    <t>Market Value</t>
  </si>
  <si>
    <t>USD</t>
  </si>
  <si>
    <t>CAD</t>
  </si>
  <si>
    <t>Currency</t>
  </si>
  <si>
    <t>Book Cost</t>
  </si>
  <si>
    <t>Adjusted Book Cost</t>
  </si>
  <si>
    <t>Adjusted Market Value</t>
  </si>
  <si>
    <t>Daily Performance</t>
  </si>
  <si>
    <t>Open</t>
  </si>
  <si>
    <t>Daily % Change</t>
  </si>
  <si>
    <t>Previous Close</t>
  </si>
  <si>
    <t>Volume</t>
  </si>
  <si>
    <t>Allocation</t>
  </si>
  <si>
    <t>Date</t>
  </si>
  <si>
    <t>Historical Performance</t>
  </si>
  <si>
    <t>Dividends</t>
  </si>
  <si>
    <t>% Increase</t>
  </si>
  <si>
    <t>Purchase History</t>
  </si>
  <si>
    <t>Adjusted Price</t>
  </si>
  <si>
    <t>Dividends per Share</t>
  </si>
  <si>
    <t>Cumulative Dividends</t>
  </si>
  <si>
    <t>Price</t>
  </si>
  <si>
    <t>Earnings</t>
  </si>
  <si>
    <t>Equity</t>
  </si>
  <si>
    <t>Q1</t>
  </si>
  <si>
    <t>Q2</t>
  </si>
  <si>
    <t>Q3</t>
  </si>
  <si>
    <t>Q4</t>
  </si>
  <si>
    <t>Assets</t>
  </si>
  <si>
    <t>Operating Income</t>
  </si>
  <si>
    <t>Net Sales</t>
  </si>
  <si>
    <t>Ratios</t>
  </si>
  <si>
    <t>Operating ratio</t>
  </si>
  <si>
    <t>D/E</t>
  </si>
  <si>
    <t>ROE</t>
  </si>
  <si>
    <t>EPS</t>
  </si>
  <si>
    <t>P/E</t>
  </si>
  <si>
    <t>Yield</t>
  </si>
  <si>
    <t>Payout Ratio</t>
  </si>
  <si>
    <t>Annual</t>
  </si>
  <si>
    <t>Quick Facts</t>
  </si>
  <si>
    <t>Market Cap</t>
  </si>
  <si>
    <t>Oustanding Shares</t>
  </si>
  <si>
    <t>Exchange</t>
  </si>
  <si>
    <t>Beta</t>
  </si>
  <si>
    <t>Industry</t>
  </si>
  <si>
    <t>Company Name</t>
  </si>
  <si>
    <t>Ticker Symbol</t>
  </si>
  <si>
    <t>Dividend/Share</t>
  </si>
  <si>
    <t>Financial Statements (In $Millions)</t>
  </si>
  <si>
    <t>Price at end of Financial Year</t>
  </si>
  <si>
    <t>2020</t>
  </si>
  <si>
    <t>Currency Conversion rate</t>
  </si>
  <si>
    <t>Operating Cash Flow</t>
  </si>
  <si>
    <t>Adjusted Shares Bought</t>
  </si>
  <si>
    <t>Dividends Earned</t>
  </si>
  <si>
    <t>Total Shares</t>
  </si>
  <si>
    <t>52 Week High</t>
  </si>
  <si>
    <t>52 Week Low</t>
  </si>
  <si>
    <t>Account</t>
  </si>
  <si>
    <t>Summary</t>
  </si>
  <si>
    <t>Debt/Liabilities</t>
  </si>
  <si>
    <t>2021</t>
  </si>
  <si>
    <t>Stock_1 Breakdown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</si>
</sst>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8" formatCode="_(&quot;$&quot;* #,##0.00_);_(&quot;$&quot;* \(#,##0.00\);_(&quot;$&quot;* &quot;-&quot;??_);_(@_)"/>
    <numFmt numFmtId="169" formatCode="_([$$-1009]* #,##0.000_);_([$$-1009]* \(#,##0.000\);_([$$-1009]* &quot;-&quot;??_);_(@_)"/>
    <numFmt numFmtId="170" formatCode="_-* #,##0_-;\-* #,##0_-;_-* &quot;-&quot;??_-;_-@_-"/>
  </numFmts>
  <fonts count="1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8"/>
      <color theme="0"/>
      <name val="Calibri Light"/>
      <family val="2"/>
      <scheme val="maj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62626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/>
        <bgColor theme="9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ck">
        <color theme="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ck">
        <color theme="4" tint="0.499984740745262"/>
      </bottom>
      <diagonal/>
    </border>
    <border>
      <left/>
      <right style="thick">
        <color theme="4"/>
      </right>
      <top style="thick">
        <color theme="4"/>
      </top>
      <bottom/>
      <diagonal/>
    </border>
    <border>
      <left/>
      <right style="thick">
        <color theme="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ck">
        <color theme="4"/>
      </right>
      <top style="thin">
        <color theme="4" tint="0.39997558519241921"/>
      </top>
      <bottom/>
      <diagonal/>
    </border>
    <border>
      <left style="thick">
        <color theme="4"/>
      </left>
      <right/>
      <top style="thick">
        <color theme="4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ck">
        <color theme="4" tint="0.39997558519241921"/>
      </right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 style="thick">
        <color theme="4"/>
      </top>
      <bottom style="thin">
        <color theme="4" tint="0.39997558519241921"/>
      </bottom>
      <diagonal/>
    </border>
    <border>
      <left/>
      <right style="thick">
        <color theme="4"/>
      </right>
      <top style="thick">
        <color theme="4"/>
      </top>
      <bottom style="thin">
        <color theme="4" tint="0.39997558519241921"/>
      </bottom>
      <diagonal/>
    </border>
    <border>
      <left style="thick">
        <color theme="4" tint="0.499984740745262"/>
      </left>
      <right/>
      <top style="thin">
        <color theme="4" tint="0.39997558519241921"/>
      </top>
      <bottom/>
      <diagonal/>
    </border>
    <border>
      <left/>
      <right style="thick">
        <color theme="4" tint="0.39994506668294322"/>
      </right>
      <top style="thin">
        <color theme="4" tint="0.39997558519241921"/>
      </top>
      <bottom/>
      <diagonal/>
    </border>
    <border>
      <left/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/>
      <diagonal/>
    </border>
  </borders>
  <cellStyleXfs count="10">
    <xf numFmtId="0" fontId="0" fillId="0" borderId="0"/>
    <xf numFmtId="0" fontId="2" fillId="0" borderId="1" applyNumberFormat="0" applyFill="0" applyAlignment="0" applyProtection="0"/>
    <xf numFmtId="168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9" fontId="4" fillId="0" borderId="0" applyFont="0" applyFill="0" applyBorder="0" applyAlignment="0" applyProtection="0"/>
    <xf numFmtId="0" fontId="9" fillId="0" borderId="8" applyNumberFormat="0" applyFill="0" applyAlignment="0" applyProtection="0"/>
    <xf numFmtId="0" fontId="1" fillId="8" borderId="0" applyNumberFormat="0" applyBorder="0" applyAlignment="0" applyProtection="0"/>
    <xf numFmtId="43" fontId="4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Protection="1">
      <protection locked="0"/>
    </xf>
    <xf numFmtId="168" fontId="0" fillId="0" borderId="0" xfId="2" applyFont="1"/>
    <xf numFmtId="0" fontId="4" fillId="5" borderId="0" xfId="5"/>
    <xf numFmtId="0" fontId="0" fillId="0" borderId="0" xfId="0" applyAlignment="1"/>
    <xf numFmtId="0" fontId="0" fillId="7" borderId="2" xfId="0" applyFont="1" applyFill="1" applyBorder="1"/>
    <xf numFmtId="0" fontId="7" fillId="6" borderId="4" xfId="0" applyFont="1" applyFill="1" applyBorder="1"/>
    <xf numFmtId="0" fontId="0" fillId="7" borderId="5" xfId="0" applyFont="1" applyFill="1" applyBorder="1"/>
    <xf numFmtId="0" fontId="0" fillId="7" borderId="6" xfId="0" applyFont="1" applyFill="1" applyBorder="1"/>
    <xf numFmtId="168" fontId="0" fillId="7" borderId="6" xfId="2" applyNumberFormat="1" applyFont="1" applyFill="1" applyBorder="1"/>
    <xf numFmtId="168" fontId="0" fillId="7" borderId="3" xfId="2" applyNumberFormat="1" applyFont="1" applyFill="1" applyBorder="1"/>
    <xf numFmtId="0" fontId="0" fillId="0" borderId="6" xfId="0" applyFont="1" applyBorder="1"/>
    <xf numFmtId="0" fontId="7" fillId="6" borderId="0" xfId="0" applyFont="1" applyFill="1" applyBorder="1"/>
    <xf numFmtId="14" fontId="0" fillId="0" borderId="0" xfId="0" applyNumberFormat="1"/>
    <xf numFmtId="10" fontId="0" fillId="0" borderId="0" xfId="6" applyNumberFormat="1" applyFont="1"/>
    <xf numFmtId="169" fontId="4" fillId="4" borderId="0" xfId="4" applyNumberFormat="1"/>
    <xf numFmtId="168" fontId="0" fillId="7" borderId="6" xfId="0" applyNumberFormat="1" applyFont="1" applyFill="1" applyBorder="1"/>
    <xf numFmtId="168" fontId="0" fillId="0" borderId="6" xfId="2" applyNumberFormat="1" applyFont="1" applyBorder="1"/>
    <xf numFmtId="168" fontId="0" fillId="0" borderId="6" xfId="0" applyNumberFormat="1" applyFont="1" applyBorder="1"/>
    <xf numFmtId="168" fontId="0" fillId="7" borderId="3" xfId="0" applyNumberFormat="1" applyFont="1" applyFill="1" applyBorder="1"/>
    <xf numFmtId="168" fontId="0" fillId="7" borderId="6" xfId="2" applyFont="1" applyFill="1" applyBorder="1"/>
    <xf numFmtId="168" fontId="0" fillId="0" borderId="6" xfId="2" applyFont="1" applyBorder="1"/>
    <xf numFmtId="10" fontId="0" fillId="7" borderId="6" xfId="6" applyNumberFormat="1" applyFont="1" applyFill="1" applyBorder="1"/>
    <xf numFmtId="0" fontId="0" fillId="0" borderId="5" xfId="0" applyFont="1" applyBorder="1"/>
    <xf numFmtId="2" fontId="0" fillId="0" borderId="6" xfId="0" applyNumberFormat="1" applyFont="1" applyBorder="1"/>
    <xf numFmtId="0" fontId="0" fillId="0" borderId="5" xfId="0" applyFont="1" applyBorder="1" applyAlignment="1">
      <alignment wrapText="1"/>
    </xf>
    <xf numFmtId="168" fontId="0" fillId="0" borderId="7" xfId="2" applyNumberFormat="1" applyFont="1" applyBorder="1"/>
    <xf numFmtId="44" fontId="0" fillId="0" borderId="7" xfId="0" applyNumberFormat="1" applyFont="1" applyBorder="1"/>
    <xf numFmtId="44" fontId="0" fillId="7" borderId="6" xfId="0" applyNumberFormat="1" applyFont="1" applyFill="1" applyBorder="1"/>
    <xf numFmtId="10" fontId="0" fillId="0" borderId="6" xfId="6" applyNumberFormat="1" applyFont="1" applyBorder="1"/>
    <xf numFmtId="0" fontId="13" fillId="2" borderId="8" xfId="7" applyFont="1" applyFill="1"/>
    <xf numFmtId="0" fontId="10" fillId="8" borderId="4" xfId="8" applyFont="1" applyBorder="1"/>
    <xf numFmtId="0" fontId="7" fillId="6" borderId="13" xfId="0" applyFont="1" applyFill="1" applyBorder="1"/>
    <xf numFmtId="0" fontId="3" fillId="2" borderId="1" xfId="1" applyFont="1" applyFill="1" applyAlignment="1"/>
    <xf numFmtId="0" fontId="3" fillId="2" borderId="0" xfId="1" applyFont="1" applyFill="1" applyBorder="1" applyAlignment="1"/>
    <xf numFmtId="168" fontId="3" fillId="2" borderId="0" xfId="2" applyFont="1" applyFill="1" applyBorder="1" applyAlignment="1"/>
    <xf numFmtId="168" fontId="3" fillId="2" borderId="14" xfId="2" applyFont="1" applyFill="1" applyBorder="1" applyAlignment="1"/>
    <xf numFmtId="0" fontId="7" fillId="9" borderId="17" xfId="0" applyFont="1" applyFill="1" applyBorder="1"/>
    <xf numFmtId="0" fontId="7" fillId="9" borderId="18" xfId="0" applyFont="1" applyFill="1" applyBorder="1"/>
    <xf numFmtId="169" fontId="0" fillId="4" borderId="16" xfId="4" applyNumberFormat="1" applyFont="1" applyFill="1" applyBorder="1"/>
    <xf numFmtId="0" fontId="4" fillId="4" borderId="15" xfId="4" applyBorder="1"/>
    <xf numFmtId="0" fontId="7" fillId="6" borderId="5" xfId="0" applyFont="1" applyFill="1" applyBorder="1"/>
    <xf numFmtId="0" fontId="7" fillId="6" borderId="6" xfId="0" applyFont="1" applyFill="1" applyBorder="1"/>
    <xf numFmtId="0" fontId="7" fillId="6" borderId="7" xfId="0" applyFont="1" applyFill="1" applyBorder="1"/>
    <xf numFmtId="14" fontId="0" fillId="7" borderId="5" xfId="0" applyNumberFormat="1" applyFont="1" applyFill="1" applyBorder="1"/>
    <xf numFmtId="14" fontId="0" fillId="0" borderId="5" xfId="0" applyNumberFormat="1" applyFont="1" applyBorder="1"/>
    <xf numFmtId="0" fontId="6" fillId="3" borderId="0" xfId="3" applyFont="1" applyFill="1" applyAlignment="1"/>
    <xf numFmtId="9" fontId="7" fillId="6" borderId="5" xfId="0" applyNumberFormat="1" applyFont="1" applyFill="1" applyBorder="1"/>
    <xf numFmtId="10" fontId="0" fillId="7" borderId="5" xfId="6" applyNumberFormat="1" applyFont="1" applyFill="1" applyBorder="1"/>
    <xf numFmtId="10" fontId="0" fillId="0" borderId="5" xfId="6" applyNumberFormat="1" applyFont="1" applyBorder="1"/>
    <xf numFmtId="0" fontId="0" fillId="0" borderId="0" xfId="0" applyFill="1"/>
    <xf numFmtId="14" fontId="0" fillId="0" borderId="0" xfId="0" applyNumberFormat="1" applyAlignment="1">
      <alignment horizontal="right"/>
    </xf>
    <xf numFmtId="44" fontId="0" fillId="0" borderId="6" xfId="0" applyNumberFormat="1" applyFont="1" applyBorder="1"/>
    <xf numFmtId="0" fontId="3" fillId="2" borderId="1" xfId="1" applyFont="1" applyFill="1"/>
    <xf numFmtId="0" fontId="0" fillId="7" borderId="6" xfId="0" applyFont="1" applyFill="1" applyBorder="1" applyAlignment="1">
      <alignment horizontal="right"/>
    </xf>
    <xf numFmtId="0" fontId="7" fillId="6" borderId="6" xfId="0" applyNumberFormat="1" applyFont="1" applyFill="1" applyBorder="1"/>
    <xf numFmtId="9" fontId="0" fillId="0" borderId="6" xfId="6" applyFont="1" applyBorder="1"/>
    <xf numFmtId="168" fontId="11" fillId="7" borderId="6" xfId="2" applyFont="1" applyFill="1" applyBorder="1" applyAlignment="1">
      <alignment vertical="center"/>
    </xf>
    <xf numFmtId="168" fontId="0" fillId="0" borderId="6" xfId="2" applyFont="1" applyBorder="1" applyAlignment="1">
      <alignment horizontal="right"/>
    </xf>
    <xf numFmtId="168" fontId="11" fillId="7" borderId="6" xfId="2" applyFont="1" applyFill="1" applyBorder="1" applyAlignment="1">
      <alignment vertical="center" wrapText="1"/>
    </xf>
    <xf numFmtId="2" fontId="11" fillId="7" borderId="6" xfId="9" applyNumberFormat="1" applyFont="1" applyFill="1" applyBorder="1" applyAlignment="1">
      <alignment horizontal="right" vertical="center"/>
    </xf>
    <xf numFmtId="170" fontId="0" fillId="0" borderId="6" xfId="9" applyNumberFormat="1" applyFont="1" applyBorder="1"/>
    <xf numFmtId="0" fontId="7" fillId="6" borderId="21" xfId="0" applyNumberFormat="1" applyFont="1" applyFill="1" applyBorder="1"/>
    <xf numFmtId="0" fontId="7" fillId="6" borderId="22" xfId="0" applyFont="1" applyFill="1" applyBorder="1"/>
    <xf numFmtId="0" fontId="0" fillId="7" borderId="6" xfId="0" applyNumberFormat="1" applyFont="1" applyFill="1" applyBorder="1"/>
    <xf numFmtId="0" fontId="0" fillId="0" borderId="6" xfId="0" applyNumberFormat="1" applyFont="1" applyBorder="1"/>
    <xf numFmtId="168" fontId="0" fillId="0" borderId="0" xfId="0" applyNumberFormat="1" applyFont="1"/>
    <xf numFmtId="9" fontId="0" fillId="0" borderId="0" xfId="6" applyFont="1"/>
    <xf numFmtId="170" fontId="0" fillId="0" borderId="0" xfId="9" applyNumberFormat="1" applyFont="1"/>
    <xf numFmtId="168" fontId="0" fillId="0" borderId="0" xfId="0" applyNumberFormat="1" applyFont="1" applyFill="1"/>
    <xf numFmtId="0" fontId="3" fillId="2" borderId="1" xfId="1" applyFont="1" applyFill="1" applyAlignment="1">
      <alignment horizontal="center" wrapText="1"/>
    </xf>
    <xf numFmtId="168" fontId="15" fillId="7" borderId="11" xfId="2" applyNumberFormat="1" applyFont="1" applyFill="1" applyBorder="1"/>
    <xf numFmtId="168" fontId="15" fillId="0" borderId="11" xfId="2" applyNumberFormat="1" applyFont="1" applyBorder="1"/>
    <xf numFmtId="168" fontId="15" fillId="7" borderId="10" xfId="2" applyNumberFormat="1" applyFont="1" applyFill="1" applyBorder="1"/>
    <xf numFmtId="168" fontId="4" fillId="7" borderId="24" xfId="2" applyNumberFormat="1" applyFont="1" applyFill="1" applyBorder="1"/>
    <xf numFmtId="168" fontId="4" fillId="0" borderId="24" xfId="2" applyNumberFormat="1" applyFont="1" applyBorder="1"/>
    <xf numFmtId="168" fontId="4" fillId="7" borderId="23" xfId="2" applyNumberFormat="1" applyFont="1" applyFill="1" applyBorder="1"/>
    <xf numFmtId="9" fontId="0" fillId="7" borderId="6" xfId="6" applyFont="1" applyFill="1" applyBorder="1"/>
    <xf numFmtId="168" fontId="0" fillId="0" borderId="6" xfId="2" applyFont="1" applyBorder="1" applyAlignment="1">
      <alignment wrapText="1"/>
    </xf>
    <xf numFmtId="0" fontId="13" fillId="2" borderId="8" xfId="7" applyFont="1" applyFill="1" applyAlignment="1">
      <alignment horizontal="center"/>
    </xf>
    <xf numFmtId="9" fontId="0" fillId="7" borderId="0" xfId="6" applyFont="1" applyFill="1" applyBorder="1"/>
    <xf numFmtId="0" fontId="0" fillId="0" borderId="6" xfId="2" applyNumberFormat="1" applyFont="1" applyBorder="1"/>
    <xf numFmtId="0" fontId="3" fillId="2" borderId="1" xfId="1" applyFont="1" applyFill="1" applyAlignment="1">
      <alignment horizontal="center"/>
    </xf>
    <xf numFmtId="0" fontId="3" fillId="2" borderId="0" xfId="1" applyFont="1" applyFill="1" applyBorder="1" applyAlignment="1">
      <alignment horizontal="center"/>
    </xf>
    <xf numFmtId="0" fontId="14" fillId="3" borderId="1" xfId="1" applyFont="1" applyFill="1" applyAlignment="1">
      <alignment horizontal="center"/>
    </xf>
    <xf numFmtId="0" fontId="6" fillId="3" borderId="0" xfId="3" applyFont="1" applyFill="1" applyAlignment="1">
      <alignment horizontal="center"/>
    </xf>
    <xf numFmtId="0" fontId="9" fillId="8" borderId="19" xfId="7" applyFill="1" applyBorder="1" applyAlignment="1">
      <alignment horizontal="center"/>
    </xf>
    <xf numFmtId="0" fontId="9" fillId="8" borderId="20" xfId="7" applyFill="1" applyBorder="1" applyAlignment="1">
      <alignment horizontal="center"/>
    </xf>
    <xf numFmtId="0" fontId="9" fillId="8" borderId="12" xfId="7" applyFill="1" applyBorder="1" applyAlignment="1">
      <alignment horizontal="center"/>
    </xf>
    <xf numFmtId="0" fontId="9" fillId="8" borderId="4" xfId="7" applyFill="1" applyBorder="1" applyAlignment="1">
      <alignment horizontal="center"/>
    </xf>
    <xf numFmtId="0" fontId="9" fillId="8" borderId="9" xfId="7" applyFill="1" applyBorder="1" applyAlignment="1">
      <alignment horizontal="center"/>
    </xf>
  </cellXfs>
  <cellStyles count="10">
    <cellStyle name="40% - Accent1" xfId="8" builtinId="31"/>
    <cellStyle name="40% - Accent6" xfId="4" builtinId="51"/>
    <cellStyle name="60% - Accent6" xfId="5" builtinId="52"/>
    <cellStyle name="Comma" xfId="9" builtinId="3"/>
    <cellStyle name="Currency" xfId="2" builtinId="4"/>
    <cellStyle name="Heading 1" xfId="1" builtinId="16"/>
    <cellStyle name="Heading 2" xfId="7" builtinId="17"/>
    <cellStyle name="Normal" xfId="0" builtinId="0"/>
    <cellStyle name="Percent" xfId="6" builtinId="5"/>
    <cellStyle name="Title" xfId="3" builtinId="15"/>
  </cellStyles>
  <dxfs count="73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8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8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8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8" formatCode="_(&quot;$&quot;* #,##0.00_);_(&quot;$&quot;* \(#,##0.00\);_(&quot;$&quot;* &quot;-&quot;??_);_(@_)"/>
    </dxf>
    <dxf>
      <numFmt numFmtId="19" formatCode="yyyy/mm/dd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/>
        <right/>
        <top/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thick">
          <color theme="4"/>
        </top>
        <bottom style="thin">
          <color theme="4" tint="0.39997558519241921"/>
        </bottom>
      </border>
    </dxf>
    <dxf>
      <border outline="0">
        <bottom style="thick">
          <color theme="4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numFmt numFmtId="19" formatCode="yyyy/mm/dd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9" formatCode="yyyy/mm/dd"/>
      <alignment horizontal="right" vertical="bottom" textRotation="0" wrapText="0" indent="0" justifyLastLine="0" shrinkToFit="0" readingOrder="0"/>
    </dxf>
    <dxf>
      <numFmt numFmtId="170" formatCode="_-* #,##0_-;\-* #,##0_-;_-* &quot;-&quot;??_-;_-@_-"/>
    </dxf>
    <dxf>
      <numFmt numFmtId="14" formatCode="0.00%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" Target="richData/rdsupportingpropertybag.xml"/><Relationship Id="rId5" Type="http://schemas.openxmlformats.org/officeDocument/2006/relationships/sharedStrings" Target="sharedStrings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tyles" Target="style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</a:t>
            </a:r>
            <a:r>
              <a:rPr lang="en-US" baseline="0"/>
              <a:t> Allocation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F47-264D-864F-406DE89DB21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Summary!$H$4:$H$4</c:f>
              <c:numCache>
                <c:formatCode>General</c:formatCode>
                <c:ptCount val="1"/>
              </c:numCache>
            </c:numRef>
          </c:cat>
          <c:val>
            <c:numRef>
              <c:f>Summary!$M$4:$M$4</c:f>
              <c:numCache>
                <c:formatCode>_("$"* #,##0.00_);_("$"* \(#,##0.00\);_("$"*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7-264D-864F-406DE89DB21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Profit/Loss per Security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Security Name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Summary!$H$4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DED-7D4B-9FB2-85D661D41618}"/>
            </c:ext>
          </c:extLst>
        </c:ser>
        <c:ser>
          <c:idx val="7"/>
          <c:order val="7"/>
          <c:tx>
            <c:strRef>
              <c:f>Summary!$O$3</c:f>
              <c:strCache>
                <c:ptCount val="1"/>
                <c:pt idx="0">
                  <c:v>P/L</c:v>
                </c:pt>
              </c:strCache>
            </c:strRef>
          </c:tx>
          <c:spPr>
            <a:solidFill>
              <a:schemeClr val="accent2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Summary!$O$4</c:f>
              <c:numCache>
                <c:formatCode>_("$"* #,##0.00_);_("$"* \(#,##0.00\);_("$"*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78D-41C4-989D-BFA26974831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850014032"/>
        <c:axId val="18197094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Summary!$I$3</c15:sqref>
                        </c15:formulaRef>
                      </c:ext>
                    </c:extLst>
                    <c:strCache>
                      <c:ptCount val="1"/>
                      <c:pt idx="0">
                        <c:v>Shares</c:v>
                      </c:pt>
                    </c:strCache>
                  </c:strRef>
                </c:tx>
                <c:spPr>
                  <a:solidFill>
                    <a:schemeClr val="accent2">
                      <a:alpha val="85000"/>
                    </a:schemeClr>
                  </a:solidFill>
                  <a:ln w="9525" cap="flat" cmpd="sng" algn="ctr">
                    <a:solidFill>
                      <a:schemeClr val="lt1">
                        <a:alpha val="50000"/>
                      </a:schemeClr>
                    </a:solidFill>
                    <a:round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Summary!$I$4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78D-41C4-989D-BFA269748311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Summary!$J$3</c15:sqref>
                        </c15:formulaRef>
                      </c:ext>
                    </c:extLst>
                    <c:strCache>
                      <c:ptCount val="1"/>
                      <c:pt idx="0">
                        <c:v>Avg. Purchase Price</c:v>
                      </c:pt>
                    </c:strCache>
                  </c:strRef>
                </c:tx>
                <c:spPr>
                  <a:solidFill>
                    <a:schemeClr val="accent3">
                      <a:alpha val="85000"/>
                    </a:schemeClr>
                  </a:solidFill>
                  <a:ln w="9525" cap="flat" cmpd="sng" algn="ctr">
                    <a:solidFill>
                      <a:schemeClr val="lt1">
                        <a:alpha val="50000"/>
                      </a:schemeClr>
                    </a:solidFill>
                    <a:round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Summary!$J$4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78D-41C4-989D-BFA269748311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Summary!$K$3</c15:sqref>
                        </c15:formulaRef>
                      </c:ext>
                    </c:extLst>
                    <c:strCache>
                      <c:ptCount val="1"/>
                      <c:pt idx="0">
                        <c:v>Adjusted Book Cost</c:v>
                      </c:pt>
                    </c:strCache>
                  </c:strRef>
                </c:tx>
                <c:spPr>
                  <a:solidFill>
                    <a:schemeClr val="accent4">
                      <a:alpha val="85000"/>
                    </a:schemeClr>
                  </a:solidFill>
                  <a:ln w="9525" cap="flat" cmpd="sng" algn="ctr">
                    <a:solidFill>
                      <a:schemeClr val="lt1">
                        <a:alpha val="50000"/>
                      </a:schemeClr>
                    </a:solidFill>
                    <a:round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Summary!$K$4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78D-41C4-989D-BFA269748311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Summary!$L$3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solidFill>
                    <a:schemeClr val="accent5">
                      <a:alpha val="85000"/>
                    </a:schemeClr>
                  </a:solidFill>
                  <a:ln w="9525" cap="flat" cmpd="sng" algn="ctr">
                    <a:solidFill>
                      <a:schemeClr val="lt1">
                        <a:alpha val="50000"/>
                      </a:schemeClr>
                    </a:solidFill>
                    <a:round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Summary!$L$4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78D-41C4-989D-BFA269748311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Summary!$M$3</c15:sqref>
                        </c15:formulaRef>
                      </c:ext>
                    </c:extLst>
                    <c:strCache>
                      <c:ptCount val="1"/>
                      <c:pt idx="0">
                        <c:v>Adjusted Market Value</c:v>
                      </c:pt>
                    </c:strCache>
                  </c:strRef>
                </c:tx>
                <c:spPr>
                  <a:solidFill>
                    <a:schemeClr val="accent6">
                      <a:alpha val="85000"/>
                    </a:schemeClr>
                  </a:solidFill>
                  <a:ln w="9525" cap="flat" cmpd="sng" algn="ctr">
                    <a:solidFill>
                      <a:schemeClr val="lt1">
                        <a:alpha val="50000"/>
                      </a:schemeClr>
                    </a:solidFill>
                    <a:round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Summary!$M$4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78D-41C4-989D-BFA269748311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Summary!$N$3</c15:sqref>
                        </c15:formulaRef>
                      </c:ext>
                    </c:extLst>
                    <c:strCache>
                      <c:ptCount val="1"/>
                      <c:pt idx="0">
                        <c:v>Allocation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  <a:alpha val="85000"/>
                    </a:schemeClr>
                  </a:solidFill>
                  <a:ln w="9525" cap="flat" cmpd="sng" algn="ctr">
                    <a:solidFill>
                      <a:schemeClr val="lt1">
                        <a:alpha val="50000"/>
                      </a:schemeClr>
                    </a:solidFill>
                    <a:round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Summary!$N$4</c15:sqref>
                        </c15:formulaRef>
                      </c:ext>
                    </c:extLst>
                    <c:numCache>
                      <c:formatCode>0%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D78D-41C4-989D-BFA269748311}"/>
                  </c:ext>
                </c:extLst>
              </c15:ser>
            </c15:filteredBarSeries>
          </c:ext>
        </c:extLst>
      </c:barChart>
      <c:catAx>
        <c:axId val="185001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709440"/>
        <c:crosses val="autoZero"/>
        <c:auto val="1"/>
        <c:lblAlgn val="ctr"/>
        <c:lblOffset val="100"/>
        <c:noMultiLvlLbl val="0"/>
      </c:catAx>
      <c:valAx>
        <c:axId val="1819709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01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Dividends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Stock_1!$D$53</c:f>
              <c:strCache>
                <c:ptCount val="1"/>
                <c:pt idx="0">
                  <c:v>Date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Stock_1!$D$54</c:f>
              <c:numCache>
                <c:formatCode>m/d/yyyy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0A8-447F-9B8C-11426D708ADA}"/>
            </c:ext>
          </c:extLst>
        </c:ser>
        <c:ser>
          <c:idx val="3"/>
          <c:order val="3"/>
          <c:tx>
            <c:strRef>
              <c:f>Stock_1!$G$53</c:f>
              <c:strCache>
                <c:ptCount val="1"/>
                <c:pt idx="0">
                  <c:v>Cumulative Dividends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Stock_1!$G$54</c:f>
              <c:numCache>
                <c:formatCode>_("$"* #,##0.00_);_("$"* \(#,##0.00\);_("$"*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4472-4464-88E6-7EA7D1437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707263"/>
        <c:axId val="391709759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Stock_1!$E$53</c15:sqref>
                        </c15:formulaRef>
                      </c:ext>
                    </c:extLst>
                    <c:strCache>
                      <c:ptCount val="1"/>
                      <c:pt idx="0">
                        <c:v>Dividends per Share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Stock_1!$E$54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4472-4464-88E6-7EA7D14376DF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Stock_1!$F$53</c15:sqref>
                        </c15:formulaRef>
                      </c:ext>
                    </c:extLst>
                    <c:strCache>
                      <c:ptCount val="1"/>
                      <c:pt idx="0">
                        <c:v>Dividends Earned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Stock_1!$F$54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472-4464-88E6-7EA7D14376DF}"/>
                  </c:ext>
                </c:extLst>
              </c15:ser>
            </c15:filteredBarSeries>
          </c:ext>
        </c:extLst>
      </c:barChart>
      <c:catAx>
        <c:axId val="3917072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1709759"/>
        <c:crosses val="autoZero"/>
        <c:auto val="1"/>
        <c:lblAlgn val="ctr"/>
        <c:lblOffset val="100"/>
        <c:noMultiLvlLbl val="1"/>
      </c:catAx>
      <c:valAx>
        <c:axId val="39170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7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Shares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Stock_1!$I$53</c:f>
              <c:strCache>
                <c:ptCount val="1"/>
                <c:pt idx="0">
                  <c:v>Date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Stock_1!$I$54</c:f>
              <c:numCache>
                <c:formatCode>m/d/yyyy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63-4318-A739-2B64F9516A2D}"/>
            </c:ext>
          </c:extLst>
        </c:ser>
        <c:ser>
          <c:idx val="3"/>
          <c:order val="3"/>
          <c:tx>
            <c:strRef>
              <c:f>Stock_1!$L$53</c:f>
              <c:strCache>
                <c:ptCount val="1"/>
                <c:pt idx="0">
                  <c:v>Total Shares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Stock_1!$L$54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712D-4DDB-BBA7-98E3169C4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607933871"/>
        <c:axId val="1491747551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Stock_1!$J$53</c15:sqref>
                        </c15:formulaRef>
                      </c:ext>
                    </c:extLst>
                    <c:strCache>
                      <c:ptCount val="1"/>
                      <c:pt idx="0">
                        <c:v>Adjusted Shares Bought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Stock_1!$J$54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712D-4DDB-BBA7-98E3169C44CF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Stock_1!$K$53</c15:sqref>
                        </c15:formulaRef>
                      </c:ext>
                    </c:extLst>
                    <c:strCache>
                      <c:ptCount val="1"/>
                      <c:pt idx="0">
                        <c:v>Adjusted Price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Stock_1!$K$54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712D-4DDB-BBA7-98E3169C44CF}"/>
                  </c:ext>
                </c:extLst>
              </c15:ser>
            </c15:filteredBarSeries>
          </c:ext>
        </c:extLst>
      </c:barChart>
      <c:catAx>
        <c:axId val="1607933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747551"/>
        <c:crosses val="autoZero"/>
        <c:auto val="1"/>
        <c:lblAlgn val="ctr"/>
        <c:lblOffset val="100"/>
        <c:noMultiLvlLbl val="1"/>
      </c:catAx>
      <c:valAx>
        <c:axId val="149174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933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Historical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Stock_1!$B$53</c:f>
              <c:strCache>
                <c:ptCount val="1"/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[0]!Dates</c:f>
              <c:numCache>
                <c:formatCode>m/d/yyyy</c:formatCode>
                <c:ptCount val="26"/>
              </c:numCache>
            </c:numRef>
          </c:cat>
          <c:val>
            <c:numRef>
              <c:f>[0]!Prices</c:f>
              <c:numCache>
                <c:formatCode>General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B5-420A-92B6-152D82CC5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466719"/>
        <c:axId val="247466303"/>
      </c:lineChart>
      <c:catAx>
        <c:axId val="2474667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66303"/>
        <c:crosses val="autoZero"/>
        <c:auto val="1"/>
        <c:lblAlgn val="ctr"/>
        <c:lblOffset val="100"/>
        <c:noMultiLvlLbl val="1"/>
      </c:catAx>
      <c:valAx>
        <c:axId val="24746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15876</xdr:rowOff>
    </xdr:from>
    <xdr:to>
      <xdr:col>6</xdr:col>
      <xdr:colOff>66674</xdr:colOff>
      <xdr:row>17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142875</xdr:rowOff>
    </xdr:from>
    <xdr:to>
      <xdr:col>6</xdr:col>
      <xdr:colOff>57150</xdr:colOff>
      <xdr:row>34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28575</xdr:rowOff>
        </xdr:from>
        <xdr:to>
          <xdr:col>9</xdr:col>
          <xdr:colOff>495300</xdr:colOff>
          <xdr:row>11</xdr:row>
          <xdr:rowOff>0</xdr:rowOff>
        </xdr:to>
        <xdr:sp macro="" textlink="">
          <xdr:nvSpPr>
            <xdr:cNvPr id="1032" name="Button 8" descr="Add R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Stock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9525</xdr:rowOff>
        </xdr:from>
        <xdr:to>
          <xdr:col>11</xdr:col>
          <xdr:colOff>38100</xdr:colOff>
          <xdr:row>10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34</xdr:row>
          <xdr:rowOff>180975</xdr:rowOff>
        </xdr:from>
        <xdr:to>
          <xdr:col>2</xdr:col>
          <xdr:colOff>0</xdr:colOff>
          <xdr:row>37</xdr:row>
          <xdr:rowOff>161925</xdr:rowOff>
        </xdr:to>
        <xdr:sp macro="" textlink="">
          <xdr:nvSpPr>
            <xdr:cNvPr id="2049" name="Button 1" descr="Insert New Ye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New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9525</xdr:rowOff>
        </xdr:from>
        <xdr:to>
          <xdr:col>4</xdr:col>
          <xdr:colOff>714375</xdr:colOff>
          <xdr:row>37</xdr:row>
          <xdr:rowOff>190500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New Dividends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1514475</xdr:colOff>
          <xdr:row>35</xdr:row>
          <xdr:rowOff>9525</xdr:rowOff>
        </xdr:from>
        <xdr:to>
          <xdr:col>6</xdr:col>
          <xdr:colOff>676275</xdr:colOff>
          <xdr:row>38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Purchase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857250</xdr:colOff>
      <xdr:row>7</xdr:row>
      <xdr:rowOff>19050</xdr:rowOff>
    </xdr:from>
    <xdr:to>
      <xdr:col>7</xdr:col>
      <xdr:colOff>611025</xdr:colOff>
      <xdr:row>20</xdr:row>
      <xdr:rowOff>118725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642937</xdr:colOff>
      <xdr:row>7</xdr:row>
      <xdr:rowOff>9525</xdr:rowOff>
    </xdr:from>
    <xdr:to>
      <xdr:col>11</xdr:col>
      <xdr:colOff>425287</xdr:colOff>
      <xdr:row>20</xdr:row>
      <xdr:rowOff>109200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3</xdr:row>
          <xdr:rowOff>9525</xdr:rowOff>
        </xdr:from>
        <xdr:to>
          <xdr:col>10</xdr:col>
          <xdr:colOff>333375</xdr:colOff>
          <xdr:row>6</xdr:row>
          <xdr:rowOff>9525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Stock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7</xdr:row>
      <xdr:rowOff>9525</xdr:rowOff>
    </xdr:from>
    <xdr:to>
      <xdr:col>3</xdr:col>
      <xdr:colOff>601500</xdr:colOff>
      <xdr:row>20</xdr:row>
      <xdr:rowOff>109200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17">
  <rv s="0">
    <v>12</v>
    <v>Price</v>
    <v>0</v>
  </rv>
  <rv s="1">
    <v>12</v>
    <v>1</v>
  </rv>
  <rv s="2">
    <v>en-US</v>
    <v>avylur</v>
    <v>268435456</v>
    <v>1</v>
    <v>Powered by Refinitiv</v>
    <v>0</v>
    <v>USD/CAD</v>
    <v>2</v>
    <v>3</v>
    <v>Finance</v>
    <v>4</v>
    <v>1.3420000000000001</v>
    <v>1.2001999999999999</v>
    <v>-5.9999999999999995E-4</v>
    <v>-4.7540000000000001E-4</v>
    <v>CAD</v>
    <v>USD</v>
    <v>Currency Pair</v>
    <v>44435.875393518516</v>
    <v>US Dollar/Canadian Dollar FX Spot Rate</v>
    <v>1.262</v>
    <v>1.2614000000000001</v>
    <v>USDCAD</v>
    <v>USD/CAD</v>
  </rv>
  <rv s="3">
    <v>2</v>
  </rv>
  <rv s="0">
    <v>12</v>
    <v>Previous close</v>
    <v>0</v>
  </rv>
  <rv s="0">
    <v>12</v>
    <v>Open</v>
    <v>0</v>
  </rv>
  <rv s="0">
    <v>12</v>
    <v>Change (%)</v>
    <v>0</v>
  </rv>
  <rv s="0">
    <v>12</v>
    <v>Volume</v>
    <v>0</v>
  </rv>
  <rv s="0">
    <v>12</v>
    <v>Ticker symbol</v>
    <v>0</v>
  </rv>
  <rv s="0">
    <v>12</v>
    <v>Market cap</v>
    <v>0</v>
  </rv>
  <rv s="0">
    <v>12</v>
    <v>52 week high</v>
    <v>0</v>
  </rv>
  <rv s="0">
    <v>12</v>
    <v>52 week low</v>
    <v>0</v>
  </rv>
  <rv s="0">
    <v>12</v>
    <v>Shares outstanding</v>
    <v>0</v>
  </rv>
  <rv s="0">
    <v>12</v>
    <v>Exchange</v>
    <v>0</v>
  </rv>
  <rv s="0">
    <v>12</v>
    <v>Industry</v>
    <v>0</v>
  </rv>
  <rv s="0">
    <v>12</v>
    <v>Beta</v>
    <v>0</v>
  </rv>
  <rv s="4">
    <v>2</v>
    <v>12</v>
  </rv>
</rvData>
</file>

<file path=xl/richData/rdrichvaluestructure.xml><?xml version="1.0" encoding="utf-8"?>
<rvStructures xmlns="http://schemas.microsoft.com/office/spreadsheetml/2017/richdata" count="5">
  <s t="_error">
    <k n="errorType" t="i"/>
    <k n="field" t="s"/>
    <k n="subType" t="i"/>
  </s>
  <s t="_error">
    <k n="errorType" t="i"/>
    <k n="propagated" t="b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Instrument type" t="s"/>
    <k n="Last trade time"/>
    <k n="Name" t="s"/>
    <k n="Previous close"/>
    <k n="Price"/>
    <k n="Ticker symbol" t="s"/>
    <k n="UniqueName" t="s"/>
  </s>
  <s t="_linkedentity">
    <k n="%cvi" t="r"/>
  </s>
  <s t="_error">
    <k n="errorType" t="i"/>
    <k n="subType" t="i"/>
  </s>
</rvStructures>
</file>

<file path=xl/richData/rdsupportingpropertybag.xml><?xml version="1.0" encoding="utf-8"?>
<supportingPropertyBags xmlns="http://schemas.microsoft.com/office/spreadsheetml/2017/richdata2">
  <spbArrays count="1">
    <a count="24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2</v>
      <v>2</v>
      <v>3</v>
      <v>2</v>
      <v>2</v>
      <v>2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Name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165" formatCode="_-[$$-1009]* #,##0.00_-;\-[$$-1009]* #,##0.00_-;_-[$$-1009]* &quot;-&quot;??_-;_-@_-"/>
    </x:dxf>
    <x:dxf>
      <x:numFmt numFmtId="14" formatCode="0.00%"/>
    </x:dxf>
    <x:dxf>
      <x:numFmt numFmtId="27" formatCode="yyyy/mm/dd\ h:mm"/>
    </x:dxf>
    <x:dxf>
      <x:numFmt numFmtId="2" formatCode="0.00"/>
    </x:dxf>
  </dxfs>
  <richProperties>
    <rPr n="IsTitleField" t="b"/>
  </richProperties>
  <richStyles>
    <rSty>
      <rpv i="0">1</rpv>
    </rSty>
    <rSty dxfid="0"/>
    <rSty dxfid="1"/>
    <rSty dxfid="2"/>
    <rSty dxfid="3"/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8030E78D-35FB-4647-9B25-F6B5EC54E5C3}" name="Account" displayName="Account" ref="H3:O5" totalsRowCount="1" headerRowDxfId="72" tableBorderDxfId="71" dataCellStyle="Normal">
  <autoFilter ref="H3:O4" xr:uid="{8030E78D-35FB-4647-9B25-F6B5EC54E5C3}"/>
  <tableColumns count="8">
    <tableColumn id="1" xr3:uid="{24507CF1-AE85-48AE-A4BA-4557A30B3417}" name="Security Name" totalsRowLabel="Total" totalsRowDxfId="7" dataCellStyle="Normal"/>
    <tableColumn id="2" xr3:uid="{8F3E136E-A0C2-4C0A-9F48-0A9865008199}" name="Shares" totalsRowDxfId="6" dataCellStyle="Normal"/>
    <tableColumn id="3" xr3:uid="{EB33BB11-5113-4C88-859C-5F963152A693}" name="Avg. Purchase Price" totalsRowDxfId="5" dataCellStyle="Currency">
      <calculatedColumnFormula>Stock_1!C4</calculatedColumnFormula>
    </tableColumn>
    <tableColumn id="4" xr3:uid="{9B93B6A0-D74B-417B-8261-E9E5FA7D27DE}" name="Adjusted Book Cost" totalsRowFunction="sum" totalsRowDxfId="4" dataCellStyle="Currency">
      <calculatedColumnFormula>Account[[#This Row],[Avg. Purchase Price]]*Account[[#This Row],[Shares]]</calculatedColumnFormula>
    </tableColumn>
    <tableColumn id="5" xr3:uid="{9CB8E0C9-85C3-4C13-A40A-924667911D51}" name="Price" totalsRowDxfId="3" dataCellStyle="Currency">
      <calculatedColumnFormula array="1">_FV(Account[[#This Row],[Security Name]],"Price")</calculatedColumnFormula>
    </tableColumn>
    <tableColumn id="6" xr3:uid="{4C4B71F7-484F-4923-AEC1-5CEC63BBE448}" name="Adjusted Market Value" totalsRowFunction="sum" totalsRowDxfId="2" dataCellStyle="Currency">
      <calculatedColumnFormula>Account[[#This Row],[Price]]*Account[[#This Row],[Shares]]</calculatedColumnFormula>
    </tableColumn>
    <tableColumn id="7" xr3:uid="{868A4A7C-95F2-40B9-9C29-CAE4F55A1C10}" name="Allocation" totalsRowDxfId="1" dataCellStyle="Percent">
      <calculatedColumnFormula>Account[[#This Row],[Adjusted Market Value]]/Account[[#Totals],[Adjusted Market Value]]</calculatedColumnFormula>
    </tableColumn>
    <tableColumn id="8" xr3:uid="{4A054B46-DCA4-47C4-8736-7443A0DA1160}" name="P/L" totalsRowFunction="sum" totalsRowDxfId="0" dataCellStyle="Currency">
      <calculatedColumnFormula>Account[[#This Row],[Adjusted Market Value]]-Account[[#This Row],[Adjusted Book Cost]]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C4D90B2-6D33-4884-ABFD-4B2AF0E0C55F}" name="DailyPerformance" displayName="DailyPerformance" ref="H15:M16" totalsRowShown="0" headerRowDxfId="70" tableBorderDxfId="69" dataCellStyle="Normal">
  <autoFilter ref="H15:M16" xr:uid="{7C4D90B2-6D33-4884-ABFD-4B2AF0E0C55F}"/>
  <tableColumns count="6">
    <tableColumn id="1" xr3:uid="{B5808E65-BD74-458D-992B-2BF86BBEF447}" name="Security Name" dataCellStyle="Normal"/>
    <tableColumn id="2" xr3:uid="{C7C55ACD-BE89-441E-B60D-A1E91454320B}" name="Previous Close" dataCellStyle="Currency">
      <calculatedColumnFormula array="1">_FV(H16,"Previous close",TRUE)</calculatedColumnFormula>
    </tableColumn>
    <tableColumn id="3" xr3:uid="{583CDAEA-12E7-4EE3-8DC6-D7AB4BF23C0C}" name="Open" dataCellStyle="Currency">
      <calculatedColumnFormula array="1">_FV(H16,"Open")</calculatedColumnFormula>
    </tableColumn>
    <tableColumn id="4" xr3:uid="{DAC14844-5552-48B7-B72A-3D932666575A}" name="Current Price" dataCellStyle="Currency">
      <calculatedColumnFormula array="1">_FV(H16,"Price")</calculatedColumnFormula>
    </tableColumn>
    <tableColumn id="5" xr3:uid="{79A3F8D7-818C-4032-83D6-4FC7F7F6B36C}" name="Daily % Change" dataDxfId="68" dataCellStyle="Percent">
      <calculatedColumnFormula array="1">_FV(H16,"Change (%)",TRUE)</calculatedColumnFormula>
    </tableColumn>
    <tableColumn id="6" xr3:uid="{82D39089-2CC2-4C49-A1F3-04B2ABFB6C21}" name="Volume" dataDxfId="67" dataCellStyle="Comma">
      <calculatedColumnFormula array="1">_FV(H16,"Volume")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E82AA5-9CA0-0447-95C9-AFBE3531BCFB}" name="Purchase1" displayName="Purchase1" ref="I53:L55" insertRow="1" totalsRowCount="1">
  <autoFilter ref="I53:L54" xr:uid="{EFE82AA5-9CA0-0447-95C9-AFBE3531BCFB}"/>
  <tableColumns count="4">
    <tableColumn id="1" xr3:uid="{8AF6F5AB-D7B7-9D45-9D3E-09BEB0DCB27D}" name="Date" totalsRowLabel="Total" dataDxfId="66" totalsRowDxfId="47"/>
    <tableColumn id="2" xr3:uid="{1AEBFBB7-7C4B-4145-A76B-8833F11873AF}" name="Adjusted Shares Bought" totalsRowFunction="sum"/>
    <tableColumn id="3" xr3:uid="{83A7C925-CD57-5C41-A0AA-E6F93B13B89C}" name="Adjusted Price" totalsRowFunction="average" totalsRowDxfId="46" dataCellStyle="Currency">
      <calculatedColumnFormula>INDEX(Prices_Dates, MATCH(Purchase1[[#This Row],[Date]],Dates),2)</calculatedColumnFormula>
    </tableColumn>
    <tableColumn id="4" xr3:uid="{AE2696EF-6A97-4F6E-8B1A-BD069012373E}" name="Total Shares">
      <calculatedColumnFormula>IFERROR(Purchase1[[#This Row],[Adjusted Shares Bought]]+OFFSET(Purchase1[[#This Row],[Adjusted Shares Bought]],-1,2),Purchase1[[#This Row],[Adjusted Shares Bought]])</calculatedColumnFormula>
    </tableColumn>
  </tableColumns>
  <tableStyleInfo name="TableStyleMedium2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5C4A5B-2CCD-4FA6-BA31-B6AC5AFD6519}" name="Dividends1" displayName="Dividends1" ref="D53:G55" insertRow="1" totalsRowCount="1" headerRowDxfId="65" tableBorderDxfId="64" dataCellStyle="Normal">
  <autoFilter ref="D53:G54" xr:uid="{E2D6B6C5-906D-44EF-BB1F-37B1522BE937}"/>
  <tableColumns count="4">
    <tableColumn id="1" xr3:uid="{1137D489-1079-4F23-8190-E85EEE182F21}" name="Date" totalsRowLabel="Total" dataDxfId="63" totalsRowDxfId="45" dataCellStyle="Normal"/>
    <tableColumn id="2" xr3:uid="{6B6F6CB9-5C5B-45FD-80F6-5189EE29379F}" name="Dividends per Share" totalsRowFunction="average" totalsRowDxfId="44" dataCellStyle="Currency"/>
    <tableColumn id="3" xr3:uid="{A33FEF69-0C36-4211-8B05-154934073925}" name="Dividends Earned" totalsRowFunction="sum" totalsRowDxfId="43" dataCellStyle="Currency"/>
    <tableColumn id="4" xr3:uid="{7D6F4D1D-FE99-400D-9227-48E9E1085989}" name="Cumulative Dividends" totalsRowDxfId="42" dataCellStyle="Currency">
      <calculatedColumnFormula>IFERROR(Dividends1[[#This Row],[Dividends Earned]]+OFFSET(Dividends1[[#This Row],[Dividends Earned]],-1,1),Dividends1[[#This Row],[Dividends Earned]])</calculatedColumnFormula>
    </tableColumn>
  </tableColumns>
  <tableStyleInfo name="TableStyleMedium2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92DF65-F0C2-4D1D-8B92-1F5DC1700A78}" name="Ratios1" displayName="Ratios1" ref="D25:F34" totalsRowShown="0" headerRowDxfId="62" headerRowBorderDxfId="61" tableBorderDxfId="60" totalsRowBorderDxfId="59" headerRowCellStyle="Heading 2">
  <autoFilter ref="D25:F34" xr:uid="{7B92DF65-F0C2-4D1D-8B92-1F5DC1700A78}"/>
  <tableColumns count="3">
    <tableColumn id="1" xr3:uid="{5B89A3FF-0ADE-4596-87B5-1936809C09E1}" name="Ratios" dataDxfId="58"/>
    <tableColumn id="4" xr3:uid="{FB271495-79BD-47B5-B12F-64FABB0731D5}" name="2021" dataDxfId="57"/>
    <tableColumn id="2" xr3:uid="{075ACC09-863C-458D-B601-3ADBD25D8E40}" name="20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A53335-97AC-4B9F-AD27-8642C15E9FEF}" name="Position1" displayName="Position1" ref="A3:H5" totalsRowShown="0" headerRowDxfId="56" tableBorderDxfId="55">
  <autoFilter ref="A3:H5" xr:uid="{ACA53335-97AC-4B9F-AD27-8642C15E9FEF}"/>
  <tableColumns count="8">
    <tableColumn id="1" xr3:uid="{A50E2709-17A6-4605-AAD1-37345289A342}" name="Currency"/>
    <tableColumn id="2" xr3:uid="{E8EBDFC9-420C-4A13-8B35-040B8EF32D79}" name="Shares">
      <calculatedColumnFormula>Purchase1[[#Totals],[Adjusted Shares Bought]]</calculatedColumnFormula>
    </tableColumn>
    <tableColumn id="3" xr3:uid="{CB0A3A77-99FC-406C-A00D-CE6E85B52AF8}" name="Avg Purchase Price">
      <calculatedColumnFormula>C3*J1</calculatedColumnFormula>
    </tableColumn>
    <tableColumn id="4" xr3:uid="{C4F8CC8A-6121-4007-B938-1B8645110B7C}" name="Book Cost">
      <calculatedColumnFormula>Stock_1!$C4*Stock_1!$B4</calculatedColumnFormula>
    </tableColumn>
    <tableColumn id="5" xr3:uid="{44864A28-3B1F-4556-ABCA-26215329CC93}" name="Current Price">
      <calculatedColumnFormula>E3*J1</calculatedColumnFormula>
    </tableColumn>
    <tableColumn id="6" xr3:uid="{A5D205CF-C36F-47CF-972A-D48101F25D15}" name="Market Value">
      <calculatedColumnFormula>Stock_1!$E4*Stock_1!$B4</calculatedColumnFormula>
    </tableColumn>
    <tableColumn id="7" xr3:uid="{DB9017D1-49B8-41B3-91F9-E4B5DB152AAB}" name="P/L">
      <calculatedColumnFormula>Stock_1!$F4-Stock_1!$D4</calculatedColumnFormula>
    </tableColumn>
    <tableColumn id="8" xr3:uid="{3CE66A67-DFB4-4CA4-BFA9-5542992BCB76}" name="% Increase">
      <calculatedColumnFormula>F4/D4-1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1C3CE71-D1D0-4245-B04E-4627F782FC1E}" name="Table5" displayName="Table5" ref="A26:B34" headerRowCount="0" totalsRowShown="0" headerRowDxfId="54" headerRowBorderDxfId="53" tableBorderDxfId="52" totalsRowBorderDxfId="51">
  <tableColumns count="2">
    <tableColumn id="1" xr3:uid="{017AE0B1-6245-4B9F-99F9-3CC4D9E58337}" name="Company Name" headerRowDxfId="50" dataDxfId="49"/>
    <tableColumn id="2" xr3:uid="{1107746A-EA34-45CD-A4E3-339478418F47}" name="APPLE INC. (XNAS:AAPL)" headerRow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D0F4ABC-ECDE-064C-B226-279840125BAF}">
  <we:reference id="wa104379220" version="8.0.0.0" store="en-US" storeType="OMEX"/>
  <we:alternateReferences>
    <we:reference id="wa104379220" version="8.0.0.0" store="WA104379220" storeType="OMEX"/>
  </we:alternateReferences>
  <we:properties>
    <we:property name="Office.AutoShowTaskpaneWithDocument" value="true"/>
    <we:property name="stocks" value="{&quot;USD____CAD&quot;:[&quot;USD____CAD&quot;,1.265,0.002377179080824003],&quot;AAPL&quot;:[&quot;AAPL&quot;,129.87,0.0012335209313083517],&quot;WMT&quot;:[&quot;WMT&quot;,138.34,0.004939706523318321],&quot;CCL&quot;:[&quot;CCL&quot;,24.59,0.07426823940585403],&quot;SNOW&quot;:[&quot;SNOW&quot;,290,0.0007591966319278054],&quot;SRU_UN-CT&quot;:[&quot;SRU_UN-CT&quot;,25.08,0.008038585209003246],&quot;RCI_B-CT&quot;:[&quot;RCI_B-CT&quot;,55.77,-0.011695906432748426],&quot;GSY-CT&quot;:[&quot;GSY-CT&quot;,125.59,0.010866065679330461]}"/>
    <we:property name="stocksChange" value="{}"/>
    <we:property name="stocksOrder" value="[&quot;USD____CAD&quot;,&quot;AAPL&quot;,&quot;WMT&quot;,&quot;CCL&quot;,&quot;SNOW&quot;,&quot;SRU_UN-CT&quot;,&quot;RCI_B-CT&quot;,&quot;GSY-CT&quot;]"/>
    <we:property name="stocksSources" value="{&quot;USD____CAD&quot;:0,&quot;AAPL&quot;:0,&quot;WMT&quot;:0,&quot;CCL&quot;:0,&quot;SNOW&quot;:0,&quot;SRU_UN-CT&quot;:0,&quot;RCI_B-CT&quot;:0,&quot;GSY-CT&quot;:0}"/>
    <we:property name="updateIntervalIndex" value="2"/>
  </we:properties>
  <we:bindings>
    <we:binding id="USD____CAD" type="text" appref="{A213446A-1722-6D41-93DD-D384928121F8}"/>
    <we:binding id="AAPL" type="text" appref="{F3C3FB63-7794-F54C-BF2A-E094F42426FB}"/>
    <we:binding id="WMT" type="text" appref="{6D18B300-95BE-8945-B21D-6326F3A6BB8D}"/>
    <we:binding id="CCL" type="text" appref="{73CB65A5-5901-E54E-B8EE-1A73CB16EB49}"/>
    <we:binding id="SNOW" type="text" appref="{041E5991-8AEB-DE40-B9AA-197D4CDC0CD0}"/>
    <we:binding id="SRU_UN-CT" type="text" appref="{BC0FF557-912F-0B42-A461-59E9A9FC43CE}"/>
    <we:binding id="RCI_B-CT" type="text" appref="{761A9D57-E64D-E748-A05E-5EB177F9F5A4}"/>
    <we:binding id="GSY-CT" type="text" appref="{11117610-879E-0846-BB61-0CC1AA6EE8F9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3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64BE-9C76-9142-801E-E1F5AACE8AE4}">
  <sheetPr codeName="Sheet1"/>
  <dimension ref="A1:U23"/>
  <sheetViews>
    <sheetView showGridLines="0" tabSelected="1" workbookViewId="0">
      <pane ySplit="1" topLeftCell="A2" activePane="bottomLeft" state="frozen"/>
      <selection pane="bottomLeft" activeCell="J6" sqref="J6"/>
    </sheetView>
  </sheetViews>
  <sheetFormatPr defaultColWidth="11" defaultRowHeight="15.75" x14ac:dyDescent="0.25"/>
  <cols>
    <col min="6" max="6" width="23" bestFit="1" customWidth="1"/>
    <col min="7" max="7" width="13.5" bestFit="1" customWidth="1"/>
    <col min="8" max="8" width="24.375" customWidth="1"/>
    <col min="9" max="9" width="15.125" bestFit="1" customWidth="1"/>
    <col min="10" max="11" width="19.5" customWidth="1"/>
    <col min="12" max="12" width="16" bestFit="1" customWidth="1"/>
    <col min="13" max="13" width="22.375" customWidth="1"/>
    <col min="14" max="14" width="11.5" customWidth="1"/>
    <col min="15" max="15" width="13.125" customWidth="1"/>
    <col min="16" max="16" width="27" customWidth="1"/>
    <col min="17" max="17" width="12.375" bestFit="1" customWidth="1"/>
    <col min="18" max="18" width="14.625" bestFit="1" customWidth="1"/>
    <col min="19" max="19" width="15.125" customWidth="1"/>
    <col min="20" max="20" width="17.375" customWidth="1"/>
  </cols>
  <sheetData>
    <row r="1" spans="1:16" ht="24" thickBot="1" x14ac:dyDescent="0.4">
      <c r="A1" s="84" t="s">
        <v>68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</row>
    <row r="2" spans="1:16" ht="20.25" thickTop="1" x14ac:dyDescent="0.3">
      <c r="H2" s="83" t="s">
        <v>67</v>
      </c>
      <c r="I2" s="83"/>
      <c r="J2" s="83"/>
      <c r="K2" s="83"/>
      <c r="L2" s="83"/>
      <c r="M2" s="83"/>
      <c r="N2" s="83"/>
      <c r="O2" s="83"/>
      <c r="P2" s="4"/>
    </row>
    <row r="3" spans="1:16" x14ac:dyDescent="0.25">
      <c r="H3" s="12" t="s">
        <v>0</v>
      </c>
      <c r="I3" s="12" t="s">
        <v>1</v>
      </c>
      <c r="J3" s="12" t="s">
        <v>2</v>
      </c>
      <c r="K3" s="12" t="s">
        <v>13</v>
      </c>
      <c r="L3" s="12" t="s">
        <v>29</v>
      </c>
      <c r="M3" s="12" t="s">
        <v>14</v>
      </c>
      <c r="N3" s="12" t="s">
        <v>20</v>
      </c>
      <c r="O3" s="12" t="s">
        <v>4</v>
      </c>
    </row>
    <row r="4" spans="1:16" x14ac:dyDescent="0.25">
      <c r="J4" s="2" t="e">
        <f>Stock_1!C4</f>
        <v>#DIV/0!</v>
      </c>
      <c r="K4" s="2" t="e">
        <f>Account[[#This Row],[Avg. Purchase Price]]*Account[[#This Row],[Shares]]</f>
        <v>#DIV/0!</v>
      </c>
      <c r="L4" s="2" t="e" cm="1" vm="1">
        <f t="array" ref="L4">_FV(Account[[#This Row],[Security Name]],"Price")</f>
        <v>#VALUE!</v>
      </c>
      <c r="M4" s="2" t="e" vm="2">
        <f>Account[[#This Row],[Price]]*Account[[#This Row],[Shares]]</f>
        <v>#VALUE!</v>
      </c>
      <c r="N4" s="67" t="e" vm="2">
        <f>Account[[#This Row],[Adjusted Market Value]]/Account[[#Totals],[Adjusted Market Value]]</f>
        <v>#VALUE!</v>
      </c>
      <c r="O4" s="2" t="e" vm="2">
        <f>Account[[#This Row],[Adjusted Market Value]]-Account[[#This Row],[Adjusted Book Cost]]</f>
        <v>#VALUE!</v>
      </c>
    </row>
    <row r="5" spans="1:16" x14ac:dyDescent="0.25">
      <c r="H5" s="50" t="s">
        <v>5</v>
      </c>
      <c r="I5" s="50"/>
      <c r="J5" s="50"/>
      <c r="K5" s="50" t="e">
        <f>SUBTOTAL(109,Account[Adjusted Book Cost])</f>
        <v>#DIV/0!</v>
      </c>
      <c r="L5" s="50"/>
      <c r="M5" s="50" t="e" vm="2">
        <f>SUBTOTAL(109,Account[Adjusted Market Value])</f>
        <v>#VALUE!</v>
      </c>
      <c r="N5" s="50"/>
      <c r="O5" s="50" t="e" vm="2">
        <f>SUBTOTAL(109,Account[P/L])</f>
        <v>#VALUE!</v>
      </c>
    </row>
    <row r="7" spans="1:16" x14ac:dyDescent="0.25">
      <c r="H7" s="37" t="s">
        <v>60</v>
      </c>
      <c r="I7" s="38"/>
    </row>
    <row r="8" spans="1:16" x14ac:dyDescent="0.25">
      <c r="H8" s="40" t="e" vm="3">
        <v>#VALUE!</v>
      </c>
      <c r="I8" s="39" cm="1">
        <f t="array" ref="I8">_FV(H8,"Price")</f>
        <v>1.2614000000000001</v>
      </c>
    </row>
    <row r="14" spans="1:16" ht="20.25" thickBot="1" x14ac:dyDescent="0.35">
      <c r="H14" s="82" t="s">
        <v>15</v>
      </c>
      <c r="I14" s="82"/>
      <c r="J14" s="82"/>
      <c r="K14" s="82"/>
      <c r="L14" s="82"/>
      <c r="M14" s="82"/>
    </row>
    <row r="15" spans="1:16" ht="16.5" thickTop="1" x14ac:dyDescent="0.25">
      <c r="H15" s="12" t="s">
        <v>0</v>
      </c>
      <c r="I15" s="12" t="s">
        <v>18</v>
      </c>
      <c r="J15" s="12" t="s">
        <v>16</v>
      </c>
      <c r="K15" s="12" t="s">
        <v>3</v>
      </c>
      <c r="L15" s="12" t="s">
        <v>17</v>
      </c>
      <c r="M15" s="12" t="s">
        <v>19</v>
      </c>
    </row>
    <row r="16" spans="1:16" x14ac:dyDescent="0.25">
      <c r="I16" s="2" t="e" cm="1" vm="4">
        <f t="array" ref="I16">_FV(H16,"Previous close",TRUE)</f>
        <v>#VALUE!</v>
      </c>
      <c r="J16" s="2" t="e" cm="1" vm="5">
        <f t="array" ref="J16">_FV(H16,"Open")</f>
        <v>#VALUE!</v>
      </c>
      <c r="K16" s="2" t="e" cm="1" vm="1">
        <f t="array" ref="K16">_FV(H16,"Price")</f>
        <v>#VALUE!</v>
      </c>
      <c r="L16" s="14" t="e" cm="1" vm="6">
        <f t="array" ref="L16">_FV(H16,"Change (%)",TRUE)</f>
        <v>#VALUE!</v>
      </c>
      <c r="M16" s="68" t="e" cm="1" vm="7">
        <f t="array" ref="M16">_FV(H16,"Volume")</f>
        <v>#VALUE!</v>
      </c>
    </row>
    <row r="17" spans="21:21" x14ac:dyDescent="0.25">
      <c r="U17" s="1"/>
    </row>
    <row r="18" spans="21:21" x14ac:dyDescent="0.25">
      <c r="U18" s="1"/>
    </row>
    <row r="19" spans="21:21" x14ac:dyDescent="0.25">
      <c r="U19" s="1"/>
    </row>
    <row r="20" spans="21:21" x14ac:dyDescent="0.25">
      <c r="U20" s="1"/>
    </row>
    <row r="21" spans="21:21" x14ac:dyDescent="0.25">
      <c r="U21" s="1"/>
    </row>
    <row r="22" spans="21:21" x14ac:dyDescent="0.25">
      <c r="U22" s="1"/>
    </row>
    <row r="23" spans="21:21" x14ac:dyDescent="0.25">
      <c r="U23" s="1"/>
    </row>
  </sheetData>
  <mergeCells count="3">
    <mergeCell ref="H14:M14"/>
    <mergeCell ref="H2:O2"/>
    <mergeCell ref="A1:O1"/>
  </mergeCells>
  <conditionalFormatting sqref="O4 L16">
    <cfRule type="cellIs" dxfId="41" priority="3" operator="lessThan">
      <formula>0</formula>
    </cfRule>
    <cfRule type="cellIs" dxfId="40" priority="4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AddNewStock" altText="Add Row">
                <anchor moveWithCells="1" sizeWithCells="1">
                  <from>
                    <xdr:col>8</xdr:col>
                    <xdr:colOff>0</xdr:colOff>
                    <xdr:row>9</xdr:row>
                    <xdr:rowOff>28575</xdr:rowOff>
                  </from>
                  <to>
                    <xdr:col>9</xdr:col>
                    <xdr:colOff>495300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RefreshData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11</xdr:col>
                    <xdr:colOff>38100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A213446A-1722-6D41-93DD-D384928121F8}">
          <xm:f>Summary!#REF!</xm:f>
        </x15:webExtension>
        <x15:webExtension appRef="{73CB65A5-5901-E54E-B8EE-1A73CB16EB49}">
          <xm:f>#REF!</xm:f>
        </x15:webExtension>
        <x15:webExtension appRef="{6D18B300-95BE-8945-B21D-6326F3A6BB8D}">
          <xm:f>#REF!</xm:f>
        </x15:webExtension>
        <x15:webExtension appRef="{041E5991-8AEB-DE40-B9AA-197D4CDC0CD0}">
          <xm:f>#REF!</xm:f>
        </x15:webExtension>
        <x15:webExtension appRef="{BC0FF557-912F-0B42-A461-59E9A9FC43CE}">
          <xm:f>#REF!</xm:f>
        </x15:webExtension>
        <x15:webExtension appRef="{761A9D57-E64D-E748-A05E-5EB177F9F5A4}">
          <xm:f>#REF!</xm:f>
        </x15:webExtension>
        <x15:webExtension appRef="{11117610-879E-0846-BB61-0CC1AA6EE8F9}">
          <xm:f>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AF9D9-ED3F-6941-80FD-B720CD360DAF}">
  <sheetPr codeName="Sheet3"/>
  <dimension ref="A1:Q580"/>
  <sheetViews>
    <sheetView zoomScaleNormal="100" workbookViewId="0">
      <pane ySplit="1" topLeftCell="A2" activePane="bottomLeft" state="frozen"/>
      <selection pane="bottomLeft" activeCell="G9" sqref="G9"/>
    </sheetView>
  </sheetViews>
  <sheetFormatPr defaultColWidth="11" defaultRowHeight="15.75" x14ac:dyDescent="0.25"/>
  <cols>
    <col min="1" max="1" width="20" bestFit="1" customWidth="1"/>
    <col min="2" max="2" width="23.5" customWidth="1"/>
    <col min="3" max="3" width="19" customWidth="1"/>
    <col min="4" max="4" width="16.125" customWidth="1"/>
    <col min="5" max="5" width="19.875" customWidth="1"/>
    <col min="6" max="6" width="16.5" customWidth="1"/>
    <col min="7" max="7" width="21.125" customWidth="1"/>
    <col min="8" max="8" width="21.875" bestFit="1" customWidth="1"/>
    <col min="9" max="9" width="12.125" bestFit="1" customWidth="1"/>
    <col min="10" max="10" width="20.625" bestFit="1" customWidth="1"/>
    <col min="11" max="11" width="18.625" bestFit="1" customWidth="1"/>
    <col min="12" max="12" width="18.625" customWidth="1"/>
    <col min="13" max="13" width="15.375" bestFit="1" customWidth="1"/>
    <col min="14" max="14" width="16.625" bestFit="1" customWidth="1"/>
    <col min="15" max="16" width="12.125" bestFit="1" customWidth="1"/>
  </cols>
  <sheetData>
    <row r="1" spans="1:17" ht="23.25" x14ac:dyDescent="0.35">
      <c r="A1" s="85" t="s">
        <v>71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46"/>
      <c r="O1" s="46"/>
      <c r="P1" s="46"/>
      <c r="Q1" s="46"/>
    </row>
    <row r="2" spans="1:17" ht="20.25" thickBot="1" x14ac:dyDescent="0.35">
      <c r="A2" s="83" t="s">
        <v>6</v>
      </c>
      <c r="B2" s="83"/>
      <c r="C2" s="83"/>
      <c r="D2" s="83"/>
      <c r="E2" s="83"/>
      <c r="F2" s="83"/>
      <c r="G2" s="83"/>
      <c r="H2" s="83"/>
      <c r="I2" s="3" t="e" vm="3">
        <v>#VALUE!</v>
      </c>
      <c r="J2" s="15" cm="1">
        <f t="array" ref="J2">_FV(I2,"Price")</f>
        <v>1.2614000000000001</v>
      </c>
    </row>
    <row r="3" spans="1:17" ht="16.5" thickTop="1" x14ac:dyDescent="0.25">
      <c r="A3" s="6" t="s">
        <v>11</v>
      </c>
      <c r="B3" s="6" t="s">
        <v>1</v>
      </c>
      <c r="C3" s="6" t="s">
        <v>7</v>
      </c>
      <c r="D3" s="6" t="s">
        <v>12</v>
      </c>
      <c r="E3" s="6" t="s">
        <v>3</v>
      </c>
      <c r="F3" s="6" t="s">
        <v>8</v>
      </c>
      <c r="G3" s="6" t="s">
        <v>4</v>
      </c>
      <c r="H3" s="47" t="s">
        <v>24</v>
      </c>
    </row>
    <row r="4" spans="1:17" x14ac:dyDescent="0.25">
      <c r="A4" s="8" t="s">
        <v>9</v>
      </c>
      <c r="B4" s="8">
        <f>Purchase1[[#Totals],[Adjusted Shares Bought]]</f>
        <v>0</v>
      </c>
      <c r="C4" s="9" t="e">
        <f>Purchase1[[#Totals],[Adjusted Price]]</f>
        <v>#DIV/0!</v>
      </c>
      <c r="D4" s="9" t="e">
        <f>Stock_1!$C4*Stock_1!$B4</f>
        <v>#DIV/0!</v>
      </c>
      <c r="E4" s="9" t="e" cm="1" vm="1">
        <f t="array" ref="E4">_FV(B25,"Price")</f>
        <v>#VALUE!</v>
      </c>
      <c r="F4" s="9" t="e" vm="2">
        <f>Position1[[#This Row],[Current Price]]*Position1[[#This Row],[Shares]]</f>
        <v>#VALUE!</v>
      </c>
      <c r="G4" s="9" t="e" vm="2">
        <f>Stock_1!$F4-Stock_1!$D4</f>
        <v>#VALUE!</v>
      </c>
      <c r="H4" s="48" t="e" vm="2">
        <f>F4/D4-1</f>
        <v>#VALUE!</v>
      </c>
    </row>
    <row r="5" spans="1:17" x14ac:dyDescent="0.25">
      <c r="A5" s="11" t="s">
        <v>10</v>
      </c>
      <c r="B5" s="11">
        <f>Purchase1[[#Totals],[Adjusted Shares Bought]]</f>
        <v>0</v>
      </c>
      <c r="C5" s="17" t="e">
        <f>C4*J2</f>
        <v>#DIV/0!</v>
      </c>
      <c r="D5" s="17" t="e">
        <f>Stock_1!$C5*Stock_1!$B5</f>
        <v>#DIV/0!</v>
      </c>
      <c r="E5" s="17" t="e" vm="2">
        <f>E4*J2</f>
        <v>#VALUE!</v>
      </c>
      <c r="F5" s="17" t="e" vm="2">
        <f>Stock_1!$E5*Stock_1!$B5</f>
        <v>#VALUE!</v>
      </c>
      <c r="G5" s="17" t="e" vm="2">
        <f>Stock_1!$F5-Stock_1!$D5</f>
        <v>#VALUE!</v>
      </c>
      <c r="H5" s="49" t="e" vm="2">
        <f>F5/D5-1</f>
        <v>#VALUE!</v>
      </c>
    </row>
    <row r="24" spans="1:6" ht="20.25" thickBot="1" x14ac:dyDescent="0.35">
      <c r="A24" s="82" t="s">
        <v>48</v>
      </c>
      <c r="B24" s="82"/>
      <c r="D24" s="83" t="s">
        <v>39</v>
      </c>
      <c r="E24" s="83"/>
      <c r="F24" s="83"/>
    </row>
    <row r="25" spans="1:6" ht="21" thickTop="1" thickBot="1" x14ac:dyDescent="0.35">
      <c r="A25" s="53" t="s">
        <v>54</v>
      </c>
      <c r="B25" s="70"/>
      <c r="D25" s="30" t="s">
        <v>39</v>
      </c>
      <c r="E25" s="79" t="s">
        <v>70</v>
      </c>
      <c r="F25" s="30" t="s">
        <v>59</v>
      </c>
    </row>
    <row r="26" spans="1:6" ht="16.5" thickTop="1" x14ac:dyDescent="0.25">
      <c r="A26" s="8" t="s">
        <v>55</v>
      </c>
      <c r="B26" s="54" t="e" cm="1" vm="8">
        <f t="array" ref="B26">_FV(B25,"Ticker symbol",TRUE)</f>
        <v>#VALUE!</v>
      </c>
      <c r="D26" s="7" t="s">
        <v>40</v>
      </c>
      <c r="E26" s="80" t="e">
        <f>(#REF!-#REF!)/#REF!</f>
        <v>#REF!</v>
      </c>
      <c r="F26" s="14" t="e">
        <f>(F43-F44)/F43</f>
        <v>#DIV/0!</v>
      </c>
    </row>
    <row r="27" spans="1:6" x14ac:dyDescent="0.25">
      <c r="A27" s="11" t="s">
        <v>49</v>
      </c>
      <c r="B27" s="52" t="e" cm="1" vm="9">
        <f t="array" ref="B27">_FV(B25,"Market cap",TRUE)</f>
        <v>#VALUE!</v>
      </c>
      <c r="D27" s="23" t="s">
        <v>41</v>
      </c>
      <c r="E27" s="11" t="e">
        <f>#REF!/#REF!</f>
        <v>#REF!</v>
      </c>
      <c r="F27" s="24" t="e">
        <f>F48/F49</f>
        <v>#DIV/0!</v>
      </c>
    </row>
    <row r="28" spans="1:6" x14ac:dyDescent="0.25">
      <c r="A28" s="8" t="s">
        <v>65</v>
      </c>
      <c r="B28" s="28" t="e" cm="1" vm="10">
        <f t="array" ref="B28">_FV(B25,"52 week high",TRUE)</f>
        <v>#VALUE!</v>
      </c>
      <c r="D28" s="7" t="s">
        <v>42</v>
      </c>
      <c r="E28" s="77" t="e">
        <f>#REF!/#REF!</f>
        <v>#REF!</v>
      </c>
      <c r="F28" s="22" t="e">
        <f>F45/F49</f>
        <v>#DIV/0!</v>
      </c>
    </row>
    <row r="29" spans="1:6" ht="31.5" x14ac:dyDescent="0.25">
      <c r="A29" s="11" t="s">
        <v>66</v>
      </c>
      <c r="B29" s="21" t="e" cm="1" vm="11">
        <f t="array" ref="B29">_FV(B25,"52 week low",TRUE)</f>
        <v>#VALUE!</v>
      </c>
      <c r="D29" s="25" t="s">
        <v>58</v>
      </c>
      <c r="E29" s="78" t="e">
        <f>_xlfn.XLOOKUP(DATE(#REF!,12,31),A70:A567,B70:B567)</f>
        <v>#REF!</v>
      </c>
      <c r="F29" s="26" t="e">
        <f ca="1">VLOOKUP(DATE(B41,12,31),Prices_Dates,2)</f>
        <v>#N/A</v>
      </c>
    </row>
    <row r="30" spans="1:6" x14ac:dyDescent="0.25">
      <c r="A30" s="8" t="s">
        <v>50</v>
      </c>
      <c r="B30" s="57" t="e" cm="1" vm="12">
        <f t="array" ref="B30">_FV(B25,"Shares outstanding",TRUE)</f>
        <v>#VALUE!</v>
      </c>
      <c r="D30" s="7" t="s">
        <v>43</v>
      </c>
      <c r="E30" s="20" t="e">
        <f>(#REF!*1000000)/$B$30</f>
        <v>#REF!</v>
      </c>
      <c r="F30" s="16" t="e" vm="2">
        <f>(F45*1000000)/$B$30</f>
        <v>#VALUE!</v>
      </c>
    </row>
    <row r="31" spans="1:6" x14ac:dyDescent="0.25">
      <c r="A31" s="11" t="s">
        <v>51</v>
      </c>
      <c r="B31" s="58" t="e" cm="1" vm="13">
        <f t="array" ref="B31">_FV(B25,"Exchange")</f>
        <v>#VALUE!</v>
      </c>
      <c r="D31" s="23" t="s">
        <v>44</v>
      </c>
      <c r="E31" s="81" t="e">
        <f ca="1">INDEX(Prices_Dates,MATCH(DATE(E25,12,31),Dates),2)/INDEX(#REF!,3,5)</f>
        <v>#N/A</v>
      </c>
      <c r="F31" s="27" t="e">
        <f ca="1">INDEX(Prices_Dates,MATCH(DATE(F25,12,31),Dates),2)/INDEX(B43:F49,3,5)</f>
        <v>#N/A</v>
      </c>
    </row>
    <row r="32" spans="1:6" x14ac:dyDescent="0.25">
      <c r="A32" s="8" t="s">
        <v>53</v>
      </c>
      <c r="B32" s="59" t="e" cm="1" vm="14">
        <f t="array" ref="B32">_FV(B25,"Industry")</f>
        <v>#VALUE!</v>
      </c>
      <c r="D32" s="7" t="s">
        <v>56</v>
      </c>
      <c r="E32" s="20">
        <f>F69*4</f>
        <v>0</v>
      </c>
      <c r="F32" s="28" cm="1">
        <f t="array" ref="F32">SUMIFS(Dividend_Share_Div,Dividend_Share_Dates,"&gt;="&amp;DATE(F25,1,1),Dividend_Share_Dates,"&lt;="&amp;DATE(F25,12,31))</f>
        <v>0</v>
      </c>
    </row>
    <row r="33" spans="1:11" x14ac:dyDescent="0.25">
      <c r="A33" s="11" t="s">
        <v>19</v>
      </c>
      <c r="B33" s="61" t="e" cm="1" vm="7">
        <f t="array" ref="B33">_FV(B25,"Volume")</f>
        <v>#VALUE!</v>
      </c>
      <c r="D33" s="23" t="s">
        <v>45</v>
      </c>
      <c r="E33" s="56" t="e">
        <f>E32/E29</f>
        <v>#REF!</v>
      </c>
      <c r="F33" s="29" t="e">
        <f ca="1">F32/F29</f>
        <v>#N/A</v>
      </c>
    </row>
    <row r="34" spans="1:11" x14ac:dyDescent="0.25">
      <c r="A34" s="8" t="s">
        <v>52</v>
      </c>
      <c r="B34" s="60" t="e" cm="1" vm="15">
        <f t="array" ref="B34">_FV(B25,"Beta")</f>
        <v>#VALUE!</v>
      </c>
      <c r="D34" s="7" t="s">
        <v>46</v>
      </c>
      <c r="E34" s="77" t="e" vm="2">
        <f>(E32*B30)/(#REF!*1000000)</f>
        <v>#VALUE!</v>
      </c>
      <c r="F34" s="22" t="e" vm="2">
        <f>(F32*B30)/(F45*1000000)</f>
        <v>#VALUE!</v>
      </c>
    </row>
    <row r="40" spans="1:11" ht="20.25" thickBot="1" x14ac:dyDescent="0.35">
      <c r="A40" s="33" t="s">
        <v>57</v>
      </c>
      <c r="B40" s="35"/>
      <c r="C40" s="35"/>
      <c r="D40" s="35"/>
      <c r="E40" s="35"/>
      <c r="F40" s="36"/>
      <c r="G40" s="34"/>
      <c r="H40" s="34"/>
      <c r="I40" s="34"/>
      <c r="J40" s="34"/>
      <c r="K40" s="34"/>
    </row>
    <row r="41" spans="1:11" ht="18" thickTop="1" x14ac:dyDescent="0.3">
      <c r="A41" s="31"/>
      <c r="B41" s="86">
        <v>2020</v>
      </c>
      <c r="C41" s="86"/>
      <c r="D41" s="86"/>
      <c r="E41" s="86"/>
      <c r="F41" s="87"/>
      <c r="G41" s="88">
        <v>2019</v>
      </c>
      <c r="H41" s="89"/>
      <c r="I41" s="89"/>
      <c r="J41" s="89"/>
      <c r="K41" s="90"/>
    </row>
    <row r="42" spans="1:11" x14ac:dyDescent="0.25">
      <c r="A42" s="32"/>
      <c r="B42" s="55" t="s">
        <v>32</v>
      </c>
      <c r="C42" s="42" t="s">
        <v>33</v>
      </c>
      <c r="D42" s="42" t="s">
        <v>34</v>
      </c>
      <c r="E42" s="42" t="s">
        <v>35</v>
      </c>
      <c r="F42" s="43" t="s">
        <v>47</v>
      </c>
      <c r="G42" s="62" t="s">
        <v>32</v>
      </c>
      <c r="H42" s="42" t="s">
        <v>33</v>
      </c>
      <c r="I42" s="42" t="s">
        <v>34</v>
      </c>
      <c r="J42" s="42" t="s">
        <v>35</v>
      </c>
      <c r="K42" s="63" t="s">
        <v>47</v>
      </c>
    </row>
    <row r="43" spans="1:11" x14ac:dyDescent="0.25">
      <c r="A43" s="7" t="s">
        <v>38</v>
      </c>
      <c r="B43" s="9"/>
      <c r="C43" s="9"/>
      <c r="D43" s="9"/>
      <c r="E43" s="16"/>
      <c r="F43" s="71"/>
      <c r="G43" s="9"/>
      <c r="H43" s="9"/>
      <c r="I43" s="9"/>
      <c r="J43" s="9"/>
      <c r="K43" s="71"/>
    </row>
    <row r="44" spans="1:11" x14ac:dyDescent="0.25">
      <c r="A44" s="23" t="s">
        <v>37</v>
      </c>
      <c r="B44" s="17"/>
      <c r="C44" s="17"/>
      <c r="D44" s="17"/>
      <c r="E44" s="18"/>
      <c r="F44" s="72"/>
      <c r="G44" s="17"/>
      <c r="H44" s="17"/>
      <c r="I44" s="17"/>
      <c r="J44" s="17"/>
      <c r="K44" s="72"/>
    </row>
    <row r="45" spans="1:11" x14ac:dyDescent="0.25">
      <c r="A45" s="7" t="s">
        <v>30</v>
      </c>
      <c r="B45" s="9"/>
      <c r="C45" s="9"/>
      <c r="D45" s="9"/>
      <c r="E45" s="16"/>
      <c r="F45" s="71"/>
      <c r="G45" s="9"/>
      <c r="H45" s="9"/>
      <c r="I45" s="9"/>
      <c r="J45" s="9"/>
      <c r="K45" s="71"/>
    </row>
    <row r="46" spans="1:11" x14ac:dyDescent="0.25">
      <c r="A46" s="25" t="s">
        <v>61</v>
      </c>
      <c r="B46" s="17"/>
      <c r="C46" s="17"/>
      <c r="D46" s="17"/>
      <c r="E46" s="18"/>
      <c r="F46" s="72"/>
      <c r="G46" s="17"/>
      <c r="H46" s="17"/>
      <c r="I46" s="17"/>
      <c r="J46" s="17"/>
      <c r="K46" s="72"/>
    </row>
    <row r="47" spans="1:11" x14ac:dyDescent="0.25">
      <c r="A47" s="7" t="s">
        <v>36</v>
      </c>
      <c r="B47" s="9"/>
      <c r="C47" s="9"/>
      <c r="D47" s="9"/>
      <c r="E47" s="16"/>
      <c r="F47" s="71"/>
      <c r="G47" s="9"/>
      <c r="H47" s="9"/>
      <c r="I47" s="9"/>
      <c r="J47" s="74"/>
      <c r="K47" s="71"/>
    </row>
    <row r="48" spans="1:11" x14ac:dyDescent="0.25">
      <c r="A48" s="23" t="s">
        <v>69</v>
      </c>
      <c r="B48" s="17"/>
      <c r="C48" s="17"/>
      <c r="D48" s="17"/>
      <c r="E48" s="18"/>
      <c r="F48" s="72"/>
      <c r="G48" s="17"/>
      <c r="H48" s="17"/>
      <c r="I48" s="17"/>
      <c r="J48" s="75"/>
      <c r="K48" s="72"/>
    </row>
    <row r="49" spans="1:12" x14ac:dyDescent="0.25">
      <c r="A49" s="5" t="s">
        <v>31</v>
      </c>
      <c r="B49" s="10"/>
      <c r="C49" s="10"/>
      <c r="D49" s="10"/>
      <c r="E49" s="19"/>
      <c r="F49" s="73"/>
      <c r="G49" s="10"/>
      <c r="H49" s="10"/>
      <c r="I49" s="10"/>
      <c r="J49" s="76"/>
      <c r="K49" s="73"/>
    </row>
    <row r="52" spans="1:12" ht="20.25" thickBot="1" x14ac:dyDescent="0.35">
      <c r="A52" s="33" t="s">
        <v>22</v>
      </c>
      <c r="B52" s="33"/>
      <c r="C52" s="56"/>
      <c r="D52" s="34" t="s">
        <v>23</v>
      </c>
      <c r="E52" s="34"/>
      <c r="F52" s="34"/>
      <c r="G52" s="34"/>
      <c r="I52" s="34" t="s">
        <v>25</v>
      </c>
      <c r="J52" s="34"/>
      <c r="K52" s="34"/>
      <c r="L52" s="34"/>
    </row>
    <row r="53" spans="1:12" ht="16.5" thickTop="1" x14ac:dyDescent="0.25">
      <c r="A53" s="41" t="e" cm="1" vm="16">
        <f t="array" aca="1" ref="A53" ca="1">_xlfn.STOCKHISTORY(B26,I54,TODAY(),0,1,0,1)</f>
        <v>#VALUE!</v>
      </c>
      <c r="B53" s="42"/>
      <c r="D53" s="12" t="s">
        <v>21</v>
      </c>
      <c r="E53" s="12" t="s">
        <v>27</v>
      </c>
      <c r="F53" s="12" t="s">
        <v>63</v>
      </c>
      <c r="G53" s="12" t="s">
        <v>28</v>
      </c>
      <c r="I53" t="s">
        <v>21</v>
      </c>
      <c r="J53" t="s">
        <v>62</v>
      </c>
      <c r="K53" t="s">
        <v>26</v>
      </c>
      <c r="L53" t="s">
        <v>64</v>
      </c>
    </row>
    <row r="54" spans="1:12" x14ac:dyDescent="0.25">
      <c r="A54" s="44"/>
      <c r="B54" s="64"/>
      <c r="D54" s="13"/>
      <c r="E54" s="2"/>
      <c r="F54" s="2"/>
      <c r="G54" s="2"/>
      <c r="I54" s="51"/>
      <c r="K54" s="2"/>
    </row>
    <row r="55" spans="1:12" x14ac:dyDescent="0.25">
      <c r="A55" s="45"/>
      <c r="B55" s="65"/>
      <c r="D55" s="50" t="s">
        <v>5</v>
      </c>
      <c r="E55" s="69" t="e">
        <f>SUBTOTAL(101,Dividends1[Dividends per Share])</f>
        <v>#DIV/0!</v>
      </c>
      <c r="F55" s="66">
        <f>SUBTOTAL(109,Dividends1[Dividends Earned])</f>
        <v>0</v>
      </c>
      <c r="G55" s="66"/>
      <c r="I55" s="51" t="s">
        <v>5</v>
      </c>
      <c r="J55">
        <f>SUBTOTAL(109,Purchase1[Adjusted Shares Bought])</f>
        <v>0</v>
      </c>
      <c r="K55" s="66" t="e">
        <f>SUBTOTAL(101,Purchase1[Adjusted Price])</f>
        <v>#DIV/0!</v>
      </c>
    </row>
    <row r="56" spans="1:12" x14ac:dyDescent="0.25">
      <c r="A56" s="44"/>
      <c r="B56" s="20"/>
    </row>
    <row r="57" spans="1:12" x14ac:dyDescent="0.25">
      <c r="A57" s="45"/>
      <c r="B57" s="21"/>
    </row>
    <row r="58" spans="1:12" x14ac:dyDescent="0.25">
      <c r="A58" s="44"/>
      <c r="B58" s="20"/>
    </row>
    <row r="59" spans="1:12" x14ac:dyDescent="0.25">
      <c r="A59" s="45"/>
      <c r="B59" s="21"/>
    </row>
    <row r="60" spans="1:12" x14ac:dyDescent="0.25">
      <c r="A60" s="44"/>
      <c r="B60" s="20"/>
    </row>
    <row r="61" spans="1:12" x14ac:dyDescent="0.25">
      <c r="A61" s="45"/>
      <c r="B61" s="21"/>
    </row>
    <row r="62" spans="1:12" x14ac:dyDescent="0.25">
      <c r="A62" s="44"/>
      <c r="B62" s="8"/>
    </row>
    <row r="63" spans="1:12" x14ac:dyDescent="0.25">
      <c r="A63" s="45"/>
      <c r="B63" s="11"/>
      <c r="F63" s="13"/>
    </row>
    <row r="64" spans="1:12" x14ac:dyDescent="0.25">
      <c r="A64" s="44"/>
      <c r="B64" s="8"/>
    </row>
    <row r="65" spans="1:5" x14ac:dyDescent="0.25">
      <c r="A65" s="45"/>
      <c r="B65" s="11"/>
    </row>
    <row r="66" spans="1:5" x14ac:dyDescent="0.25">
      <c r="A66" s="44"/>
      <c r="B66" s="8"/>
    </row>
    <row r="67" spans="1:5" x14ac:dyDescent="0.25">
      <c r="A67" s="45"/>
      <c r="B67" s="11"/>
    </row>
    <row r="68" spans="1:5" x14ac:dyDescent="0.25">
      <c r="A68" s="44"/>
      <c r="B68" s="8"/>
    </row>
    <row r="69" spans="1:5" x14ac:dyDescent="0.25">
      <c r="A69" s="45"/>
      <c r="B69" s="11"/>
      <c r="E69" s="13"/>
    </row>
    <row r="70" spans="1:5" x14ac:dyDescent="0.25">
      <c r="A70" s="44"/>
      <c r="B70" s="8"/>
    </row>
    <row r="71" spans="1:5" x14ac:dyDescent="0.25">
      <c r="A71" s="45"/>
      <c r="B71" s="11"/>
    </row>
    <row r="72" spans="1:5" x14ac:dyDescent="0.25">
      <c r="A72" s="44"/>
      <c r="B72" s="8"/>
    </row>
    <row r="73" spans="1:5" x14ac:dyDescent="0.25">
      <c r="A73" s="45"/>
      <c r="B73" s="11"/>
    </row>
    <row r="74" spans="1:5" x14ac:dyDescent="0.25">
      <c r="A74" s="44"/>
      <c r="B74" s="8"/>
    </row>
    <row r="75" spans="1:5" x14ac:dyDescent="0.25">
      <c r="A75" s="45"/>
      <c r="B75" s="11"/>
    </row>
    <row r="76" spans="1:5" x14ac:dyDescent="0.25">
      <c r="A76" s="44"/>
      <c r="B76" s="8"/>
    </row>
    <row r="77" spans="1:5" x14ac:dyDescent="0.25">
      <c r="A77" s="45"/>
      <c r="B77" s="11"/>
    </row>
    <row r="78" spans="1:5" x14ac:dyDescent="0.25">
      <c r="A78" s="44"/>
      <c r="B78" s="8"/>
    </row>
    <row r="79" spans="1:5" x14ac:dyDescent="0.25">
      <c r="A79" s="45"/>
      <c r="B79" s="11"/>
    </row>
    <row r="80" spans="1:5" x14ac:dyDescent="0.25">
      <c r="A80" s="44"/>
      <c r="B80" s="8"/>
    </row>
    <row r="81" spans="1:2" x14ac:dyDescent="0.25">
      <c r="A81" s="45"/>
      <c r="B81" s="11"/>
    </row>
    <row r="82" spans="1:2" x14ac:dyDescent="0.25">
      <c r="A82" s="44"/>
      <c r="B82" s="8"/>
    </row>
    <row r="83" spans="1:2" x14ac:dyDescent="0.25">
      <c r="A83" s="45"/>
      <c r="B83" s="11"/>
    </row>
    <row r="84" spans="1:2" x14ac:dyDescent="0.25">
      <c r="A84" s="44"/>
      <c r="B84" s="8"/>
    </row>
    <row r="85" spans="1:2" x14ac:dyDescent="0.25">
      <c r="A85" s="45"/>
      <c r="B85" s="11"/>
    </row>
    <row r="86" spans="1:2" x14ac:dyDescent="0.25">
      <c r="A86" s="44"/>
      <c r="B86" s="8"/>
    </row>
    <row r="87" spans="1:2" x14ac:dyDescent="0.25">
      <c r="A87" s="45"/>
      <c r="B87" s="11"/>
    </row>
    <row r="88" spans="1:2" x14ac:dyDescent="0.25">
      <c r="A88" s="44"/>
      <c r="B88" s="8"/>
    </row>
    <row r="89" spans="1:2" x14ac:dyDescent="0.25">
      <c r="A89" s="45"/>
      <c r="B89" s="11"/>
    </row>
    <row r="90" spans="1:2" x14ac:dyDescent="0.25">
      <c r="A90" s="44"/>
      <c r="B90" s="8"/>
    </row>
    <row r="91" spans="1:2" x14ac:dyDescent="0.25">
      <c r="A91" s="45"/>
      <c r="B91" s="11"/>
    </row>
    <row r="92" spans="1:2" x14ac:dyDescent="0.25">
      <c r="A92" s="44"/>
      <c r="B92" s="8"/>
    </row>
    <row r="93" spans="1:2" x14ac:dyDescent="0.25">
      <c r="A93" s="45"/>
      <c r="B93" s="11"/>
    </row>
    <row r="94" spans="1:2" x14ac:dyDescent="0.25">
      <c r="A94" s="44"/>
      <c r="B94" s="8"/>
    </row>
    <row r="95" spans="1:2" x14ac:dyDescent="0.25">
      <c r="A95" s="45"/>
      <c r="B95" s="11"/>
    </row>
    <row r="96" spans="1:2" x14ac:dyDescent="0.25">
      <c r="A96" s="44"/>
      <c r="B96" s="8"/>
    </row>
    <row r="97" spans="1:2" x14ac:dyDescent="0.25">
      <c r="A97" s="45"/>
      <c r="B97" s="11"/>
    </row>
    <row r="98" spans="1:2" x14ac:dyDescent="0.25">
      <c r="A98" s="44"/>
      <c r="B98" s="8"/>
    </row>
    <row r="99" spans="1:2" x14ac:dyDescent="0.25">
      <c r="A99" s="45"/>
      <c r="B99" s="11"/>
    </row>
    <row r="100" spans="1:2" x14ac:dyDescent="0.25">
      <c r="A100" s="44"/>
      <c r="B100" s="8"/>
    </row>
    <row r="101" spans="1:2" x14ac:dyDescent="0.25">
      <c r="A101" s="45"/>
      <c r="B101" s="11"/>
    </row>
    <row r="102" spans="1:2" x14ac:dyDescent="0.25">
      <c r="A102" s="44"/>
      <c r="B102" s="8"/>
    </row>
    <row r="103" spans="1:2" x14ac:dyDescent="0.25">
      <c r="A103" s="45"/>
      <c r="B103" s="11"/>
    </row>
    <row r="104" spans="1:2" x14ac:dyDescent="0.25">
      <c r="A104" s="44"/>
      <c r="B104" s="8"/>
    </row>
    <row r="105" spans="1:2" x14ac:dyDescent="0.25">
      <c r="A105" s="45"/>
      <c r="B105" s="11"/>
    </row>
    <row r="106" spans="1:2" x14ac:dyDescent="0.25">
      <c r="A106" s="44"/>
      <c r="B106" s="8"/>
    </row>
    <row r="107" spans="1:2" x14ac:dyDescent="0.25">
      <c r="A107" s="45"/>
      <c r="B107" s="11"/>
    </row>
    <row r="108" spans="1:2" x14ac:dyDescent="0.25">
      <c r="A108" s="44"/>
      <c r="B108" s="8"/>
    </row>
    <row r="109" spans="1:2" x14ac:dyDescent="0.25">
      <c r="A109" s="45"/>
      <c r="B109" s="11"/>
    </row>
    <row r="110" spans="1:2" x14ac:dyDescent="0.25">
      <c r="A110" s="44"/>
      <c r="B110" s="8"/>
    </row>
    <row r="111" spans="1:2" x14ac:dyDescent="0.25">
      <c r="A111" s="45"/>
      <c r="B111" s="11"/>
    </row>
    <row r="112" spans="1:2" x14ac:dyDescent="0.25">
      <c r="A112" s="44"/>
      <c r="B112" s="8"/>
    </row>
    <row r="113" spans="1:2" x14ac:dyDescent="0.25">
      <c r="A113" s="45"/>
      <c r="B113" s="11"/>
    </row>
    <row r="114" spans="1:2" x14ac:dyDescent="0.25">
      <c r="A114" s="44"/>
      <c r="B114" s="8"/>
    </row>
    <row r="115" spans="1:2" x14ac:dyDescent="0.25">
      <c r="A115" s="45"/>
      <c r="B115" s="11"/>
    </row>
    <row r="116" spans="1:2" x14ac:dyDescent="0.25">
      <c r="A116" s="44"/>
      <c r="B116" s="8"/>
    </row>
    <row r="117" spans="1:2" x14ac:dyDescent="0.25">
      <c r="A117" s="45"/>
      <c r="B117" s="11"/>
    </row>
    <row r="118" spans="1:2" x14ac:dyDescent="0.25">
      <c r="A118" s="44"/>
      <c r="B118" s="8"/>
    </row>
    <row r="119" spans="1:2" x14ac:dyDescent="0.25">
      <c r="A119" s="45"/>
      <c r="B119" s="11"/>
    </row>
    <row r="120" spans="1:2" x14ac:dyDescent="0.25">
      <c r="A120" s="44"/>
      <c r="B120" s="8"/>
    </row>
    <row r="121" spans="1:2" x14ac:dyDescent="0.25">
      <c r="A121" s="45"/>
      <c r="B121" s="11"/>
    </row>
    <row r="122" spans="1:2" x14ac:dyDescent="0.25">
      <c r="A122" s="44"/>
      <c r="B122" s="8"/>
    </row>
    <row r="123" spans="1:2" x14ac:dyDescent="0.25">
      <c r="A123" s="45"/>
      <c r="B123" s="11"/>
    </row>
    <row r="124" spans="1:2" x14ac:dyDescent="0.25">
      <c r="A124" s="44"/>
      <c r="B124" s="8"/>
    </row>
    <row r="125" spans="1:2" x14ac:dyDescent="0.25">
      <c r="A125" s="45"/>
      <c r="B125" s="11"/>
    </row>
    <row r="126" spans="1:2" x14ac:dyDescent="0.25">
      <c r="A126" s="44"/>
      <c r="B126" s="8"/>
    </row>
    <row r="127" spans="1:2" x14ac:dyDescent="0.25">
      <c r="A127" s="45"/>
      <c r="B127" s="11"/>
    </row>
    <row r="128" spans="1:2" x14ac:dyDescent="0.25">
      <c r="A128" s="44"/>
      <c r="B128" s="8"/>
    </row>
    <row r="129" spans="1:2" x14ac:dyDescent="0.25">
      <c r="A129" s="45"/>
      <c r="B129" s="11"/>
    </row>
    <row r="130" spans="1:2" x14ac:dyDescent="0.25">
      <c r="A130" s="44"/>
      <c r="B130" s="8"/>
    </row>
    <row r="131" spans="1:2" x14ac:dyDescent="0.25">
      <c r="A131" s="45"/>
      <c r="B131" s="11"/>
    </row>
    <row r="132" spans="1:2" x14ac:dyDescent="0.25">
      <c r="A132" s="44"/>
      <c r="B132" s="8"/>
    </row>
    <row r="133" spans="1:2" x14ac:dyDescent="0.25">
      <c r="A133" s="45"/>
      <c r="B133" s="11"/>
    </row>
    <row r="134" spans="1:2" x14ac:dyDescent="0.25">
      <c r="A134" s="44"/>
      <c r="B134" s="8"/>
    </row>
    <row r="135" spans="1:2" x14ac:dyDescent="0.25">
      <c r="A135" s="45"/>
      <c r="B135" s="11"/>
    </row>
    <row r="136" spans="1:2" x14ac:dyDescent="0.25">
      <c r="A136" s="44"/>
      <c r="B136" s="8"/>
    </row>
    <row r="137" spans="1:2" x14ac:dyDescent="0.25">
      <c r="A137" s="45"/>
      <c r="B137" s="11"/>
    </row>
    <row r="138" spans="1:2" x14ac:dyDescent="0.25">
      <c r="A138" s="44"/>
      <c r="B138" s="8"/>
    </row>
    <row r="139" spans="1:2" x14ac:dyDescent="0.25">
      <c r="A139" s="45"/>
      <c r="B139" s="11"/>
    </row>
    <row r="140" spans="1:2" x14ac:dyDescent="0.25">
      <c r="A140" s="44"/>
      <c r="B140" s="8"/>
    </row>
    <row r="141" spans="1:2" x14ac:dyDescent="0.25">
      <c r="A141" s="45"/>
      <c r="B141" s="11"/>
    </row>
    <row r="142" spans="1:2" x14ac:dyDescent="0.25">
      <c r="A142" s="44"/>
      <c r="B142" s="8"/>
    </row>
    <row r="143" spans="1:2" x14ac:dyDescent="0.25">
      <c r="A143" s="45"/>
      <c r="B143" s="11"/>
    </row>
    <row r="144" spans="1:2" x14ac:dyDescent="0.25">
      <c r="A144" s="44"/>
      <c r="B144" s="8"/>
    </row>
    <row r="145" spans="1:2" x14ac:dyDescent="0.25">
      <c r="A145" s="45"/>
      <c r="B145" s="11"/>
    </row>
    <row r="146" spans="1:2" x14ac:dyDescent="0.25">
      <c r="A146" s="44"/>
      <c r="B146" s="8"/>
    </row>
    <row r="147" spans="1:2" x14ac:dyDescent="0.25">
      <c r="A147" s="45"/>
      <c r="B147" s="11"/>
    </row>
    <row r="148" spans="1:2" x14ac:dyDescent="0.25">
      <c r="A148" s="44"/>
      <c r="B148" s="8"/>
    </row>
    <row r="149" spans="1:2" x14ac:dyDescent="0.25">
      <c r="A149" s="45"/>
      <c r="B149" s="11"/>
    </row>
    <row r="150" spans="1:2" x14ac:dyDescent="0.25">
      <c r="A150" s="44"/>
      <c r="B150" s="8"/>
    </row>
    <row r="151" spans="1:2" x14ac:dyDescent="0.25">
      <c r="A151" s="45"/>
      <c r="B151" s="11"/>
    </row>
    <row r="152" spans="1:2" x14ac:dyDescent="0.25">
      <c r="A152" s="44"/>
      <c r="B152" s="8"/>
    </row>
    <row r="153" spans="1:2" x14ac:dyDescent="0.25">
      <c r="A153" s="45"/>
      <c r="B153" s="11"/>
    </row>
    <row r="154" spans="1:2" x14ac:dyDescent="0.25">
      <c r="A154" s="44"/>
      <c r="B154" s="8"/>
    </row>
    <row r="155" spans="1:2" x14ac:dyDescent="0.25">
      <c r="A155" s="45"/>
      <c r="B155" s="11"/>
    </row>
    <row r="156" spans="1:2" x14ac:dyDescent="0.25">
      <c r="A156" s="44"/>
      <c r="B156" s="8"/>
    </row>
    <row r="157" spans="1:2" x14ac:dyDescent="0.25">
      <c r="A157" s="45"/>
      <c r="B157" s="11"/>
    </row>
    <row r="158" spans="1:2" x14ac:dyDescent="0.25">
      <c r="A158" s="44"/>
      <c r="B158" s="8"/>
    </row>
    <row r="159" spans="1:2" x14ac:dyDescent="0.25">
      <c r="A159" s="45"/>
      <c r="B159" s="11"/>
    </row>
    <row r="160" spans="1:2" x14ac:dyDescent="0.25">
      <c r="A160" s="44"/>
      <c r="B160" s="8"/>
    </row>
    <row r="161" spans="1:2" x14ac:dyDescent="0.25">
      <c r="A161" s="45"/>
      <c r="B161" s="11"/>
    </row>
    <row r="162" spans="1:2" x14ac:dyDescent="0.25">
      <c r="A162" s="44"/>
      <c r="B162" s="8"/>
    </row>
    <row r="163" spans="1:2" x14ac:dyDescent="0.25">
      <c r="A163" s="45"/>
      <c r="B163" s="11"/>
    </row>
    <row r="164" spans="1:2" x14ac:dyDescent="0.25">
      <c r="A164" s="44"/>
      <c r="B164" s="8"/>
    </row>
    <row r="165" spans="1:2" x14ac:dyDescent="0.25">
      <c r="A165" s="45"/>
      <c r="B165" s="11"/>
    </row>
    <row r="166" spans="1:2" x14ac:dyDescent="0.25">
      <c r="A166" s="44"/>
      <c r="B166" s="8"/>
    </row>
    <row r="167" spans="1:2" x14ac:dyDescent="0.25">
      <c r="A167" s="45"/>
      <c r="B167" s="11"/>
    </row>
    <row r="168" spans="1:2" x14ac:dyDescent="0.25">
      <c r="A168" s="44"/>
      <c r="B168" s="8"/>
    </row>
    <row r="169" spans="1:2" x14ac:dyDescent="0.25">
      <c r="A169" s="45"/>
      <c r="B169" s="11"/>
    </row>
    <row r="170" spans="1:2" x14ac:dyDescent="0.25">
      <c r="A170" s="44"/>
      <c r="B170" s="8"/>
    </row>
    <row r="171" spans="1:2" x14ac:dyDescent="0.25">
      <c r="A171" s="45"/>
      <c r="B171" s="11"/>
    </row>
    <row r="172" spans="1:2" x14ac:dyDescent="0.25">
      <c r="A172" s="44"/>
      <c r="B172" s="8"/>
    </row>
    <row r="173" spans="1:2" x14ac:dyDescent="0.25">
      <c r="A173" s="45"/>
      <c r="B173" s="11"/>
    </row>
    <row r="174" spans="1:2" x14ac:dyDescent="0.25">
      <c r="A174" s="44"/>
      <c r="B174" s="8"/>
    </row>
    <row r="175" spans="1:2" x14ac:dyDescent="0.25">
      <c r="A175" s="45"/>
      <c r="B175" s="11"/>
    </row>
    <row r="176" spans="1:2" x14ac:dyDescent="0.25">
      <c r="A176" s="44"/>
      <c r="B176" s="8"/>
    </row>
    <row r="177" spans="1:6" x14ac:dyDescent="0.25">
      <c r="A177" s="45"/>
      <c r="B177" s="11"/>
    </row>
    <row r="178" spans="1:6" x14ac:dyDescent="0.25">
      <c r="A178" s="44"/>
      <c r="B178" s="8"/>
    </row>
    <row r="179" spans="1:6" x14ac:dyDescent="0.25">
      <c r="A179" s="45"/>
      <c r="B179" s="11"/>
    </row>
    <row r="180" spans="1:6" x14ac:dyDescent="0.25">
      <c r="A180" s="44"/>
      <c r="B180" s="8"/>
    </row>
    <row r="181" spans="1:6" x14ac:dyDescent="0.25">
      <c r="A181" s="45"/>
      <c r="B181" s="11"/>
    </row>
    <row r="182" spans="1:6" x14ac:dyDescent="0.25">
      <c r="A182" s="44"/>
      <c r="B182" s="8"/>
    </row>
    <row r="183" spans="1:6" x14ac:dyDescent="0.25">
      <c r="A183" s="45"/>
      <c r="B183" s="11"/>
    </row>
    <row r="184" spans="1:6" x14ac:dyDescent="0.25">
      <c r="A184" s="44"/>
      <c r="B184" s="8"/>
    </row>
    <row r="185" spans="1:6" x14ac:dyDescent="0.25">
      <c r="A185" s="45"/>
      <c r="B185" s="11"/>
    </row>
    <row r="186" spans="1:6" x14ac:dyDescent="0.25">
      <c r="A186" s="44"/>
      <c r="B186" s="8"/>
    </row>
    <row r="187" spans="1:6" x14ac:dyDescent="0.25">
      <c r="A187" s="45"/>
      <c r="B187" s="11"/>
    </row>
    <row r="188" spans="1:6" x14ac:dyDescent="0.25">
      <c r="A188" s="44"/>
      <c r="B188" s="8"/>
    </row>
    <row r="189" spans="1:6" x14ac:dyDescent="0.25">
      <c r="A189" s="45"/>
      <c r="B189" s="11"/>
    </row>
    <row r="190" spans="1:6" x14ac:dyDescent="0.25">
      <c r="A190" s="44"/>
      <c r="B190" s="8"/>
    </row>
    <row r="191" spans="1:6" x14ac:dyDescent="0.25">
      <c r="A191" s="45"/>
      <c r="B191" s="11"/>
      <c r="F191" s="13"/>
    </row>
    <row r="192" spans="1:6" x14ac:dyDescent="0.25">
      <c r="A192" s="44"/>
      <c r="B192" s="8"/>
    </row>
    <row r="193" spans="1:2" x14ac:dyDescent="0.25">
      <c r="A193" s="45"/>
      <c r="B193" s="11"/>
    </row>
    <row r="194" spans="1:2" x14ac:dyDescent="0.25">
      <c r="A194" s="44"/>
      <c r="B194" s="8"/>
    </row>
    <row r="195" spans="1:2" x14ac:dyDescent="0.25">
      <c r="A195" s="45"/>
      <c r="B195" s="11"/>
    </row>
    <row r="196" spans="1:2" x14ac:dyDescent="0.25">
      <c r="A196" s="44"/>
      <c r="B196" s="8"/>
    </row>
    <row r="197" spans="1:2" x14ac:dyDescent="0.25">
      <c r="A197" s="45"/>
      <c r="B197" s="11"/>
    </row>
    <row r="198" spans="1:2" x14ac:dyDescent="0.25">
      <c r="A198" s="44"/>
      <c r="B198" s="8"/>
    </row>
    <row r="199" spans="1:2" x14ac:dyDescent="0.25">
      <c r="A199" s="45"/>
      <c r="B199" s="11"/>
    </row>
    <row r="200" spans="1:2" x14ac:dyDescent="0.25">
      <c r="A200" s="44"/>
      <c r="B200" s="8"/>
    </row>
    <row r="201" spans="1:2" x14ac:dyDescent="0.25">
      <c r="A201" s="45"/>
      <c r="B201" s="11"/>
    </row>
    <row r="202" spans="1:2" x14ac:dyDescent="0.25">
      <c r="A202" s="44"/>
      <c r="B202" s="8"/>
    </row>
    <row r="203" spans="1:2" x14ac:dyDescent="0.25">
      <c r="A203" s="45"/>
      <c r="B203" s="11"/>
    </row>
    <row r="204" spans="1:2" x14ac:dyDescent="0.25">
      <c r="A204" s="44"/>
      <c r="B204" s="8"/>
    </row>
    <row r="205" spans="1:2" x14ac:dyDescent="0.25">
      <c r="A205" s="45"/>
      <c r="B205" s="11"/>
    </row>
    <row r="206" spans="1:2" x14ac:dyDescent="0.25">
      <c r="A206" s="44"/>
      <c r="B206" s="8"/>
    </row>
    <row r="207" spans="1:2" x14ac:dyDescent="0.25">
      <c r="A207" s="45"/>
      <c r="B207" s="11"/>
    </row>
    <row r="208" spans="1:2" x14ac:dyDescent="0.25">
      <c r="A208" s="44"/>
      <c r="B208" s="8"/>
    </row>
    <row r="209" spans="1:2" x14ac:dyDescent="0.25">
      <c r="A209" s="45"/>
      <c r="B209" s="11"/>
    </row>
    <row r="210" spans="1:2" x14ac:dyDescent="0.25">
      <c r="A210" s="44"/>
      <c r="B210" s="8"/>
    </row>
    <row r="211" spans="1:2" x14ac:dyDescent="0.25">
      <c r="A211" s="45"/>
      <c r="B211" s="11"/>
    </row>
    <row r="212" spans="1:2" x14ac:dyDescent="0.25">
      <c r="A212" s="44"/>
      <c r="B212" s="8"/>
    </row>
    <row r="213" spans="1:2" x14ac:dyDescent="0.25">
      <c r="A213" s="45"/>
      <c r="B213" s="11"/>
    </row>
    <row r="214" spans="1:2" x14ac:dyDescent="0.25">
      <c r="A214" s="44"/>
      <c r="B214" s="8"/>
    </row>
    <row r="215" spans="1:2" x14ac:dyDescent="0.25">
      <c r="A215" s="45"/>
      <c r="B215" s="11"/>
    </row>
    <row r="216" spans="1:2" x14ac:dyDescent="0.25">
      <c r="A216" s="44"/>
      <c r="B216" s="8"/>
    </row>
    <row r="217" spans="1:2" x14ac:dyDescent="0.25">
      <c r="A217" s="45"/>
      <c r="B217" s="11"/>
    </row>
    <row r="218" spans="1:2" x14ac:dyDescent="0.25">
      <c r="A218" s="44"/>
      <c r="B218" s="8"/>
    </row>
    <row r="219" spans="1:2" x14ac:dyDescent="0.25">
      <c r="A219" s="45"/>
      <c r="B219" s="11"/>
    </row>
    <row r="220" spans="1:2" x14ac:dyDescent="0.25">
      <c r="A220" s="44"/>
      <c r="B220" s="8"/>
    </row>
    <row r="221" spans="1:2" x14ac:dyDescent="0.25">
      <c r="A221" s="45"/>
      <c r="B221" s="11"/>
    </row>
    <row r="222" spans="1:2" x14ac:dyDescent="0.25">
      <c r="A222" s="44"/>
      <c r="B222" s="8"/>
    </row>
    <row r="223" spans="1:2" x14ac:dyDescent="0.25">
      <c r="A223" s="45"/>
      <c r="B223" s="11"/>
    </row>
    <row r="224" spans="1:2" x14ac:dyDescent="0.25">
      <c r="A224" s="44"/>
      <c r="B224" s="8"/>
    </row>
    <row r="225" spans="1:2" x14ac:dyDescent="0.25">
      <c r="A225" s="45"/>
      <c r="B225" s="11"/>
    </row>
    <row r="226" spans="1:2" x14ac:dyDescent="0.25">
      <c r="A226" s="44"/>
      <c r="B226" s="8"/>
    </row>
    <row r="227" spans="1:2" x14ac:dyDescent="0.25">
      <c r="A227" s="45"/>
      <c r="B227" s="11"/>
    </row>
    <row r="228" spans="1:2" x14ac:dyDescent="0.25">
      <c r="A228" s="44"/>
      <c r="B228" s="8"/>
    </row>
    <row r="229" spans="1:2" x14ac:dyDescent="0.25">
      <c r="A229" s="45"/>
      <c r="B229" s="11"/>
    </row>
    <row r="230" spans="1:2" x14ac:dyDescent="0.25">
      <c r="A230" s="44"/>
      <c r="B230" s="8"/>
    </row>
    <row r="231" spans="1:2" x14ac:dyDescent="0.25">
      <c r="A231" s="45"/>
      <c r="B231" s="11"/>
    </row>
    <row r="232" spans="1:2" x14ac:dyDescent="0.25">
      <c r="A232" s="44"/>
      <c r="B232" s="8"/>
    </row>
    <row r="233" spans="1:2" x14ac:dyDescent="0.25">
      <c r="A233" s="45"/>
      <c r="B233" s="11"/>
    </row>
    <row r="234" spans="1:2" x14ac:dyDescent="0.25">
      <c r="A234" s="44"/>
      <c r="B234" s="8"/>
    </row>
    <row r="235" spans="1:2" x14ac:dyDescent="0.25">
      <c r="A235" s="45"/>
      <c r="B235" s="11"/>
    </row>
    <row r="236" spans="1:2" x14ac:dyDescent="0.25">
      <c r="A236" s="44"/>
      <c r="B236" s="8"/>
    </row>
    <row r="237" spans="1:2" x14ac:dyDescent="0.25">
      <c r="A237" s="45"/>
      <c r="B237" s="11"/>
    </row>
    <row r="238" spans="1:2" x14ac:dyDescent="0.25">
      <c r="A238" s="44"/>
      <c r="B238" s="8"/>
    </row>
    <row r="239" spans="1:2" x14ac:dyDescent="0.25">
      <c r="A239" s="45"/>
      <c r="B239" s="11"/>
    </row>
    <row r="240" spans="1:2" x14ac:dyDescent="0.25">
      <c r="A240" s="44"/>
      <c r="B240" s="8"/>
    </row>
    <row r="241" spans="1:2" x14ac:dyDescent="0.25">
      <c r="A241" s="45"/>
      <c r="B241" s="11"/>
    </row>
    <row r="242" spans="1:2" x14ac:dyDescent="0.25">
      <c r="A242" s="44"/>
      <c r="B242" s="8"/>
    </row>
    <row r="243" spans="1:2" x14ac:dyDescent="0.25">
      <c r="A243" s="45"/>
      <c r="B243" s="11"/>
    </row>
    <row r="244" spans="1:2" x14ac:dyDescent="0.25">
      <c r="A244" s="44"/>
      <c r="B244" s="8"/>
    </row>
    <row r="245" spans="1:2" x14ac:dyDescent="0.25">
      <c r="A245" s="45"/>
      <c r="B245" s="11"/>
    </row>
    <row r="246" spans="1:2" x14ac:dyDescent="0.25">
      <c r="A246" s="44"/>
      <c r="B246" s="8"/>
    </row>
    <row r="247" spans="1:2" x14ac:dyDescent="0.25">
      <c r="A247" s="45"/>
      <c r="B247" s="11"/>
    </row>
    <row r="248" spans="1:2" x14ac:dyDescent="0.25">
      <c r="A248" s="44"/>
      <c r="B248" s="8"/>
    </row>
    <row r="249" spans="1:2" x14ac:dyDescent="0.25">
      <c r="A249" s="45"/>
      <c r="B249" s="11"/>
    </row>
    <row r="250" spans="1:2" x14ac:dyDescent="0.25">
      <c r="A250" s="44"/>
      <c r="B250" s="8"/>
    </row>
    <row r="251" spans="1:2" x14ac:dyDescent="0.25">
      <c r="A251" s="45"/>
      <c r="B251" s="11"/>
    </row>
    <row r="252" spans="1:2" x14ac:dyDescent="0.25">
      <c r="A252" s="44"/>
      <c r="B252" s="8"/>
    </row>
    <row r="253" spans="1:2" x14ac:dyDescent="0.25">
      <c r="A253" s="45"/>
      <c r="B253" s="11"/>
    </row>
    <row r="254" spans="1:2" x14ac:dyDescent="0.25">
      <c r="A254" s="44"/>
      <c r="B254" s="8"/>
    </row>
    <row r="255" spans="1:2" x14ac:dyDescent="0.25">
      <c r="A255" s="45"/>
      <c r="B255" s="11"/>
    </row>
    <row r="256" spans="1:2" x14ac:dyDescent="0.25">
      <c r="A256" s="44"/>
      <c r="B256" s="8"/>
    </row>
    <row r="257" spans="1:2" x14ac:dyDescent="0.25">
      <c r="A257" s="45"/>
      <c r="B257" s="11"/>
    </row>
    <row r="258" spans="1:2" x14ac:dyDescent="0.25">
      <c r="A258" s="44"/>
      <c r="B258" s="8"/>
    </row>
    <row r="259" spans="1:2" x14ac:dyDescent="0.25">
      <c r="A259" s="45"/>
      <c r="B259" s="11"/>
    </row>
    <row r="260" spans="1:2" x14ac:dyDescent="0.25">
      <c r="A260" s="44"/>
      <c r="B260" s="8"/>
    </row>
    <row r="261" spans="1:2" x14ac:dyDescent="0.25">
      <c r="A261" s="45"/>
      <c r="B261" s="11"/>
    </row>
    <row r="262" spans="1:2" x14ac:dyDescent="0.25">
      <c r="A262" s="44"/>
      <c r="B262" s="8"/>
    </row>
    <row r="263" spans="1:2" x14ac:dyDescent="0.25">
      <c r="A263" s="45"/>
      <c r="B263" s="11"/>
    </row>
    <row r="264" spans="1:2" x14ac:dyDescent="0.25">
      <c r="A264" s="44"/>
      <c r="B264" s="8"/>
    </row>
    <row r="265" spans="1:2" x14ac:dyDescent="0.25">
      <c r="A265" s="45"/>
      <c r="B265" s="11"/>
    </row>
    <row r="266" spans="1:2" x14ac:dyDescent="0.25">
      <c r="A266" s="44"/>
      <c r="B266" s="8"/>
    </row>
    <row r="267" spans="1:2" x14ac:dyDescent="0.25">
      <c r="A267" s="45"/>
      <c r="B267" s="11"/>
    </row>
    <row r="268" spans="1:2" x14ac:dyDescent="0.25">
      <c r="A268" s="44"/>
      <c r="B268" s="8"/>
    </row>
    <row r="269" spans="1:2" x14ac:dyDescent="0.25">
      <c r="A269" s="45"/>
      <c r="B269" s="11"/>
    </row>
    <row r="270" spans="1:2" x14ac:dyDescent="0.25">
      <c r="A270" s="44"/>
      <c r="B270" s="8"/>
    </row>
    <row r="271" spans="1:2" x14ac:dyDescent="0.25">
      <c r="A271" s="45"/>
      <c r="B271" s="11"/>
    </row>
    <row r="272" spans="1:2" x14ac:dyDescent="0.25">
      <c r="A272" s="44"/>
      <c r="B272" s="8"/>
    </row>
    <row r="273" spans="1:2" x14ac:dyDescent="0.25">
      <c r="A273" s="45"/>
      <c r="B273" s="11"/>
    </row>
    <row r="274" spans="1:2" x14ac:dyDescent="0.25">
      <c r="A274" s="44"/>
      <c r="B274" s="8"/>
    </row>
    <row r="275" spans="1:2" x14ac:dyDescent="0.25">
      <c r="A275" s="45"/>
      <c r="B275" s="11"/>
    </row>
    <row r="276" spans="1:2" x14ac:dyDescent="0.25">
      <c r="A276" s="44"/>
      <c r="B276" s="8"/>
    </row>
    <row r="277" spans="1:2" x14ac:dyDescent="0.25">
      <c r="A277" s="45"/>
      <c r="B277" s="11"/>
    </row>
    <row r="278" spans="1:2" x14ac:dyDescent="0.25">
      <c r="A278" s="44"/>
      <c r="B278" s="8"/>
    </row>
    <row r="279" spans="1:2" x14ac:dyDescent="0.25">
      <c r="A279" s="45"/>
      <c r="B279" s="11"/>
    </row>
    <row r="280" spans="1:2" x14ac:dyDescent="0.25">
      <c r="A280" s="44"/>
      <c r="B280" s="8"/>
    </row>
    <row r="281" spans="1:2" x14ac:dyDescent="0.25">
      <c r="A281" s="45"/>
      <c r="B281" s="11"/>
    </row>
    <row r="282" spans="1:2" x14ac:dyDescent="0.25">
      <c r="A282" s="44"/>
      <c r="B282" s="8"/>
    </row>
    <row r="283" spans="1:2" x14ac:dyDescent="0.25">
      <c r="A283" s="45"/>
      <c r="B283" s="11"/>
    </row>
    <row r="284" spans="1:2" x14ac:dyDescent="0.25">
      <c r="A284" s="44"/>
      <c r="B284" s="8"/>
    </row>
    <row r="285" spans="1:2" x14ac:dyDescent="0.25">
      <c r="A285" s="45"/>
      <c r="B285" s="11"/>
    </row>
    <row r="286" spans="1:2" x14ac:dyDescent="0.25">
      <c r="A286" s="44"/>
      <c r="B286" s="8"/>
    </row>
    <row r="287" spans="1:2" x14ac:dyDescent="0.25">
      <c r="A287" s="45"/>
      <c r="B287" s="11"/>
    </row>
    <row r="288" spans="1:2" x14ac:dyDescent="0.25">
      <c r="A288" s="44"/>
      <c r="B288" s="8"/>
    </row>
    <row r="289" spans="1:2" x14ac:dyDescent="0.25">
      <c r="A289" s="45"/>
      <c r="B289" s="11"/>
    </row>
    <row r="290" spans="1:2" x14ac:dyDescent="0.25">
      <c r="A290" s="44"/>
      <c r="B290" s="8"/>
    </row>
    <row r="291" spans="1:2" x14ac:dyDescent="0.25">
      <c r="A291" s="45"/>
      <c r="B291" s="11"/>
    </row>
    <row r="292" spans="1:2" x14ac:dyDescent="0.25">
      <c r="A292" s="44"/>
      <c r="B292" s="8"/>
    </row>
    <row r="293" spans="1:2" x14ac:dyDescent="0.25">
      <c r="A293" s="45"/>
      <c r="B293" s="11"/>
    </row>
    <row r="294" spans="1:2" x14ac:dyDescent="0.25">
      <c r="A294" s="44"/>
      <c r="B294" s="8"/>
    </row>
    <row r="295" spans="1:2" x14ac:dyDescent="0.25">
      <c r="A295" s="45"/>
      <c r="B295" s="11"/>
    </row>
    <row r="296" spans="1:2" x14ac:dyDescent="0.25">
      <c r="A296" s="44"/>
      <c r="B296" s="8"/>
    </row>
    <row r="297" spans="1:2" x14ac:dyDescent="0.25">
      <c r="A297" s="45"/>
      <c r="B297" s="11"/>
    </row>
    <row r="298" spans="1:2" x14ac:dyDescent="0.25">
      <c r="A298" s="44"/>
      <c r="B298" s="8"/>
    </row>
    <row r="299" spans="1:2" x14ac:dyDescent="0.25">
      <c r="A299" s="45"/>
      <c r="B299" s="11"/>
    </row>
    <row r="300" spans="1:2" x14ac:dyDescent="0.25">
      <c r="A300" s="44"/>
      <c r="B300" s="8"/>
    </row>
    <row r="301" spans="1:2" x14ac:dyDescent="0.25">
      <c r="A301" s="45"/>
      <c r="B301" s="11"/>
    </row>
    <row r="302" spans="1:2" x14ac:dyDescent="0.25">
      <c r="A302" s="44"/>
      <c r="B302" s="8"/>
    </row>
    <row r="303" spans="1:2" x14ac:dyDescent="0.25">
      <c r="A303" s="45"/>
      <c r="B303" s="11"/>
    </row>
    <row r="304" spans="1:2" x14ac:dyDescent="0.25">
      <c r="A304" s="44"/>
      <c r="B304" s="8"/>
    </row>
    <row r="305" spans="1:2" x14ac:dyDescent="0.25">
      <c r="A305" s="45"/>
      <c r="B305" s="11"/>
    </row>
    <row r="306" spans="1:2" x14ac:dyDescent="0.25">
      <c r="A306" s="44"/>
      <c r="B306" s="8"/>
    </row>
    <row r="307" spans="1:2" x14ac:dyDescent="0.25">
      <c r="A307" s="45"/>
      <c r="B307" s="11"/>
    </row>
    <row r="308" spans="1:2" x14ac:dyDescent="0.25">
      <c r="A308" s="44"/>
      <c r="B308" s="8"/>
    </row>
    <row r="309" spans="1:2" x14ac:dyDescent="0.25">
      <c r="A309" s="45"/>
      <c r="B309" s="11"/>
    </row>
    <row r="310" spans="1:2" x14ac:dyDescent="0.25">
      <c r="A310" s="44"/>
      <c r="B310" s="8"/>
    </row>
    <row r="311" spans="1:2" x14ac:dyDescent="0.25">
      <c r="A311" s="45"/>
      <c r="B311" s="11"/>
    </row>
    <row r="312" spans="1:2" x14ac:dyDescent="0.25">
      <c r="A312" s="44"/>
      <c r="B312" s="8"/>
    </row>
    <row r="313" spans="1:2" x14ac:dyDescent="0.25">
      <c r="A313" s="45"/>
      <c r="B313" s="11"/>
    </row>
    <row r="314" spans="1:2" x14ac:dyDescent="0.25">
      <c r="A314" s="44"/>
      <c r="B314" s="8"/>
    </row>
    <row r="315" spans="1:2" x14ac:dyDescent="0.25">
      <c r="A315" s="45"/>
      <c r="B315" s="11"/>
    </row>
    <row r="316" spans="1:2" x14ac:dyDescent="0.25">
      <c r="A316" s="44"/>
      <c r="B316" s="8"/>
    </row>
    <row r="317" spans="1:2" x14ac:dyDescent="0.25">
      <c r="A317" s="45"/>
      <c r="B317" s="11"/>
    </row>
    <row r="318" spans="1:2" x14ac:dyDescent="0.25">
      <c r="A318" s="44"/>
      <c r="B318" s="8"/>
    </row>
    <row r="319" spans="1:2" x14ac:dyDescent="0.25">
      <c r="A319" s="45"/>
      <c r="B319" s="11"/>
    </row>
    <row r="320" spans="1:2" x14ac:dyDescent="0.25">
      <c r="A320" s="44"/>
      <c r="B320" s="8"/>
    </row>
    <row r="321" spans="1:2" x14ac:dyDescent="0.25">
      <c r="A321" s="45"/>
      <c r="B321" s="11"/>
    </row>
    <row r="322" spans="1:2" x14ac:dyDescent="0.25">
      <c r="A322" s="44"/>
      <c r="B322" s="8"/>
    </row>
    <row r="323" spans="1:2" x14ac:dyDescent="0.25">
      <c r="A323" s="45"/>
      <c r="B323" s="11"/>
    </row>
    <row r="324" spans="1:2" x14ac:dyDescent="0.25">
      <c r="A324" s="44"/>
      <c r="B324" s="8"/>
    </row>
    <row r="325" spans="1:2" x14ac:dyDescent="0.25">
      <c r="A325" s="45"/>
      <c r="B325" s="11"/>
    </row>
    <row r="326" spans="1:2" x14ac:dyDescent="0.25">
      <c r="A326" s="44"/>
      <c r="B326" s="8"/>
    </row>
    <row r="327" spans="1:2" x14ac:dyDescent="0.25">
      <c r="A327" s="45"/>
      <c r="B327" s="11"/>
    </row>
    <row r="328" spans="1:2" x14ac:dyDescent="0.25">
      <c r="A328" s="44"/>
      <c r="B328" s="8"/>
    </row>
    <row r="329" spans="1:2" x14ac:dyDescent="0.25">
      <c r="A329" s="45"/>
      <c r="B329" s="11"/>
    </row>
    <row r="330" spans="1:2" x14ac:dyDescent="0.25">
      <c r="A330" s="44"/>
      <c r="B330" s="8"/>
    </row>
    <row r="331" spans="1:2" x14ac:dyDescent="0.25">
      <c r="A331" s="45"/>
      <c r="B331" s="11"/>
    </row>
    <row r="332" spans="1:2" x14ac:dyDescent="0.25">
      <c r="A332" s="44"/>
      <c r="B332" s="8"/>
    </row>
    <row r="333" spans="1:2" x14ac:dyDescent="0.25">
      <c r="A333" s="45"/>
      <c r="B333" s="11"/>
    </row>
    <row r="334" spans="1:2" x14ac:dyDescent="0.25">
      <c r="A334" s="44"/>
      <c r="B334" s="8"/>
    </row>
    <row r="335" spans="1:2" x14ac:dyDescent="0.25">
      <c r="A335" s="45"/>
      <c r="B335" s="11"/>
    </row>
    <row r="336" spans="1:2" x14ac:dyDescent="0.25">
      <c r="A336" s="44"/>
      <c r="B336" s="8"/>
    </row>
    <row r="337" spans="1:2" x14ac:dyDescent="0.25">
      <c r="A337" s="45"/>
      <c r="B337" s="11"/>
    </row>
    <row r="338" spans="1:2" x14ac:dyDescent="0.25">
      <c r="A338" s="44"/>
      <c r="B338" s="8"/>
    </row>
    <row r="339" spans="1:2" x14ac:dyDescent="0.25">
      <c r="A339" s="45"/>
      <c r="B339" s="11"/>
    </row>
    <row r="340" spans="1:2" x14ac:dyDescent="0.25">
      <c r="A340" s="44"/>
      <c r="B340" s="8"/>
    </row>
    <row r="341" spans="1:2" x14ac:dyDescent="0.25">
      <c r="A341" s="45"/>
      <c r="B341" s="11"/>
    </row>
    <row r="342" spans="1:2" x14ac:dyDescent="0.25">
      <c r="A342" s="44"/>
      <c r="B342" s="8"/>
    </row>
    <row r="343" spans="1:2" x14ac:dyDescent="0.25">
      <c r="A343" s="45"/>
      <c r="B343" s="11"/>
    </row>
    <row r="344" spans="1:2" x14ac:dyDescent="0.25">
      <c r="A344" s="44"/>
      <c r="B344" s="8"/>
    </row>
    <row r="345" spans="1:2" x14ac:dyDescent="0.25">
      <c r="A345" s="45"/>
      <c r="B345" s="11"/>
    </row>
    <row r="346" spans="1:2" x14ac:dyDescent="0.25">
      <c r="A346" s="44"/>
      <c r="B346" s="8"/>
    </row>
    <row r="347" spans="1:2" x14ac:dyDescent="0.25">
      <c r="A347" s="45"/>
      <c r="B347" s="11"/>
    </row>
    <row r="348" spans="1:2" x14ac:dyDescent="0.25">
      <c r="A348" s="44"/>
      <c r="B348" s="8"/>
    </row>
    <row r="349" spans="1:2" x14ac:dyDescent="0.25">
      <c r="A349" s="45"/>
      <c r="B349" s="11"/>
    </row>
    <row r="350" spans="1:2" x14ac:dyDescent="0.25">
      <c r="A350" s="44"/>
      <c r="B350" s="8"/>
    </row>
    <row r="351" spans="1:2" x14ac:dyDescent="0.25">
      <c r="A351" s="45"/>
      <c r="B351" s="11"/>
    </row>
    <row r="352" spans="1:2" x14ac:dyDescent="0.25">
      <c r="A352" s="44"/>
      <c r="B352" s="8"/>
    </row>
    <row r="353" spans="1:2" x14ac:dyDescent="0.25">
      <c r="A353" s="45"/>
      <c r="B353" s="11"/>
    </row>
    <row r="354" spans="1:2" x14ac:dyDescent="0.25">
      <c r="A354" s="44"/>
      <c r="B354" s="8"/>
    </row>
    <row r="355" spans="1:2" x14ac:dyDescent="0.25">
      <c r="A355" s="45"/>
      <c r="B355" s="11"/>
    </row>
    <row r="356" spans="1:2" x14ac:dyDescent="0.25">
      <c r="A356" s="44"/>
      <c r="B356" s="8"/>
    </row>
    <row r="357" spans="1:2" x14ac:dyDescent="0.25">
      <c r="A357" s="45"/>
      <c r="B357" s="11"/>
    </row>
    <row r="358" spans="1:2" x14ac:dyDescent="0.25">
      <c r="A358" s="44"/>
      <c r="B358" s="8"/>
    </row>
    <row r="359" spans="1:2" x14ac:dyDescent="0.25">
      <c r="A359" s="45"/>
      <c r="B359" s="11"/>
    </row>
    <row r="360" spans="1:2" x14ac:dyDescent="0.25">
      <c r="A360" s="44"/>
      <c r="B360" s="8"/>
    </row>
    <row r="361" spans="1:2" x14ac:dyDescent="0.25">
      <c r="A361" s="45"/>
      <c r="B361" s="11"/>
    </row>
    <row r="362" spans="1:2" x14ac:dyDescent="0.25">
      <c r="A362" s="44"/>
      <c r="B362" s="8"/>
    </row>
    <row r="363" spans="1:2" x14ac:dyDescent="0.25">
      <c r="A363" s="45"/>
      <c r="B363" s="11"/>
    </row>
    <row r="364" spans="1:2" x14ac:dyDescent="0.25">
      <c r="A364" s="44"/>
      <c r="B364" s="8"/>
    </row>
    <row r="365" spans="1:2" x14ac:dyDescent="0.25">
      <c r="A365" s="45"/>
      <c r="B365" s="11"/>
    </row>
    <row r="366" spans="1:2" x14ac:dyDescent="0.25">
      <c r="A366" s="44"/>
      <c r="B366" s="8"/>
    </row>
    <row r="367" spans="1:2" x14ac:dyDescent="0.25">
      <c r="A367" s="45"/>
      <c r="B367" s="11"/>
    </row>
    <row r="368" spans="1:2" x14ac:dyDescent="0.25">
      <c r="A368" s="44"/>
      <c r="B368" s="8"/>
    </row>
    <row r="369" spans="1:2" x14ac:dyDescent="0.25">
      <c r="A369" s="45"/>
      <c r="B369" s="11"/>
    </row>
    <row r="370" spans="1:2" x14ac:dyDescent="0.25">
      <c r="A370" s="44"/>
      <c r="B370" s="8"/>
    </row>
    <row r="371" spans="1:2" x14ac:dyDescent="0.25">
      <c r="A371" s="45"/>
      <c r="B371" s="11"/>
    </row>
    <row r="372" spans="1:2" x14ac:dyDescent="0.25">
      <c r="A372" s="44"/>
      <c r="B372" s="8"/>
    </row>
    <row r="373" spans="1:2" x14ac:dyDescent="0.25">
      <c r="A373" s="45"/>
      <c r="B373" s="11"/>
    </row>
    <row r="374" spans="1:2" x14ac:dyDescent="0.25">
      <c r="A374" s="44"/>
      <c r="B374" s="8"/>
    </row>
    <row r="375" spans="1:2" x14ac:dyDescent="0.25">
      <c r="A375" s="45"/>
      <c r="B375" s="11"/>
    </row>
    <row r="376" spans="1:2" x14ac:dyDescent="0.25">
      <c r="A376" s="44"/>
      <c r="B376" s="8"/>
    </row>
    <row r="377" spans="1:2" x14ac:dyDescent="0.25">
      <c r="A377" s="45"/>
      <c r="B377" s="11"/>
    </row>
    <row r="378" spans="1:2" x14ac:dyDescent="0.25">
      <c r="A378" s="44"/>
      <c r="B378" s="8"/>
    </row>
    <row r="379" spans="1:2" x14ac:dyDescent="0.25">
      <c r="A379" s="45"/>
      <c r="B379" s="11"/>
    </row>
    <row r="380" spans="1:2" x14ac:dyDescent="0.25">
      <c r="A380" s="44"/>
      <c r="B380" s="8"/>
    </row>
    <row r="381" spans="1:2" x14ac:dyDescent="0.25">
      <c r="A381" s="45"/>
      <c r="B381" s="11"/>
    </row>
    <row r="382" spans="1:2" x14ac:dyDescent="0.25">
      <c r="A382" s="44"/>
      <c r="B382" s="8"/>
    </row>
    <row r="383" spans="1:2" x14ac:dyDescent="0.25">
      <c r="A383" s="45"/>
      <c r="B383" s="11"/>
    </row>
    <row r="384" spans="1:2" x14ac:dyDescent="0.25">
      <c r="A384" s="44"/>
      <c r="B384" s="8"/>
    </row>
    <row r="385" spans="1:2" x14ac:dyDescent="0.25">
      <c r="A385" s="45"/>
      <c r="B385" s="11"/>
    </row>
    <row r="386" spans="1:2" x14ac:dyDescent="0.25">
      <c r="A386" s="44"/>
      <c r="B386" s="8"/>
    </row>
    <row r="387" spans="1:2" x14ac:dyDescent="0.25">
      <c r="A387" s="45"/>
      <c r="B387" s="11"/>
    </row>
    <row r="388" spans="1:2" x14ac:dyDescent="0.25">
      <c r="A388" s="44"/>
      <c r="B388" s="8"/>
    </row>
    <row r="389" spans="1:2" x14ac:dyDescent="0.25">
      <c r="A389" s="45"/>
      <c r="B389" s="11"/>
    </row>
    <row r="390" spans="1:2" x14ac:dyDescent="0.25">
      <c r="A390" s="44"/>
      <c r="B390" s="8"/>
    </row>
    <row r="391" spans="1:2" x14ac:dyDescent="0.25">
      <c r="A391" s="45"/>
      <c r="B391" s="11"/>
    </row>
    <row r="392" spans="1:2" x14ac:dyDescent="0.25">
      <c r="A392" s="44"/>
      <c r="B392" s="8"/>
    </row>
    <row r="393" spans="1:2" x14ac:dyDescent="0.25">
      <c r="A393" s="45"/>
      <c r="B393" s="11"/>
    </row>
    <row r="394" spans="1:2" x14ac:dyDescent="0.25">
      <c r="A394" s="44"/>
      <c r="B394" s="8"/>
    </row>
    <row r="395" spans="1:2" x14ac:dyDescent="0.25">
      <c r="A395" s="45"/>
      <c r="B395" s="11"/>
    </row>
    <row r="396" spans="1:2" x14ac:dyDescent="0.25">
      <c r="A396" s="44"/>
      <c r="B396" s="8"/>
    </row>
    <row r="397" spans="1:2" x14ac:dyDescent="0.25">
      <c r="A397" s="45"/>
      <c r="B397" s="11"/>
    </row>
    <row r="398" spans="1:2" x14ac:dyDescent="0.25">
      <c r="A398" s="44"/>
      <c r="B398" s="8"/>
    </row>
    <row r="399" spans="1:2" x14ac:dyDescent="0.25">
      <c r="A399" s="45"/>
      <c r="B399" s="11"/>
    </row>
    <row r="400" spans="1:2" x14ac:dyDescent="0.25">
      <c r="A400" s="44"/>
      <c r="B400" s="8"/>
    </row>
    <row r="401" spans="1:2" x14ac:dyDescent="0.25">
      <c r="A401" s="45"/>
      <c r="B401" s="11"/>
    </row>
    <row r="402" spans="1:2" x14ac:dyDescent="0.25">
      <c r="A402" s="44"/>
      <c r="B402" s="8"/>
    </row>
    <row r="403" spans="1:2" x14ac:dyDescent="0.25">
      <c r="A403" s="45"/>
      <c r="B403" s="11"/>
    </row>
    <row r="404" spans="1:2" x14ac:dyDescent="0.25">
      <c r="A404" s="44"/>
      <c r="B404" s="8"/>
    </row>
    <row r="405" spans="1:2" x14ac:dyDescent="0.25">
      <c r="A405" s="45"/>
      <c r="B405" s="11"/>
    </row>
    <row r="406" spans="1:2" x14ac:dyDescent="0.25">
      <c r="A406" s="44"/>
      <c r="B406" s="8"/>
    </row>
    <row r="407" spans="1:2" x14ac:dyDescent="0.25">
      <c r="A407" s="45"/>
      <c r="B407" s="11"/>
    </row>
    <row r="408" spans="1:2" x14ac:dyDescent="0.25">
      <c r="A408" s="44"/>
      <c r="B408" s="8"/>
    </row>
    <row r="409" spans="1:2" x14ac:dyDescent="0.25">
      <c r="A409" s="45"/>
      <c r="B409" s="11"/>
    </row>
    <row r="410" spans="1:2" x14ac:dyDescent="0.25">
      <c r="A410" s="44"/>
      <c r="B410" s="8"/>
    </row>
    <row r="411" spans="1:2" x14ac:dyDescent="0.25">
      <c r="A411" s="45"/>
      <c r="B411" s="11"/>
    </row>
    <row r="412" spans="1:2" x14ac:dyDescent="0.25">
      <c r="A412" s="44"/>
      <c r="B412" s="8"/>
    </row>
    <row r="413" spans="1:2" x14ac:dyDescent="0.25">
      <c r="A413" s="45"/>
      <c r="B413" s="11"/>
    </row>
    <row r="414" spans="1:2" x14ac:dyDescent="0.25">
      <c r="A414" s="44"/>
      <c r="B414" s="8"/>
    </row>
    <row r="415" spans="1:2" x14ac:dyDescent="0.25">
      <c r="A415" s="45"/>
      <c r="B415" s="11"/>
    </row>
    <row r="416" spans="1:2" x14ac:dyDescent="0.25">
      <c r="A416" s="44"/>
      <c r="B416" s="8"/>
    </row>
    <row r="417" spans="1:2" x14ac:dyDescent="0.25">
      <c r="A417" s="45"/>
      <c r="B417" s="11"/>
    </row>
    <row r="418" spans="1:2" x14ac:dyDescent="0.25">
      <c r="A418" s="44"/>
      <c r="B418" s="8"/>
    </row>
    <row r="419" spans="1:2" x14ac:dyDescent="0.25">
      <c r="A419" s="45"/>
      <c r="B419" s="11"/>
    </row>
    <row r="420" spans="1:2" x14ac:dyDescent="0.25">
      <c r="A420" s="44"/>
      <c r="B420" s="8"/>
    </row>
    <row r="421" spans="1:2" x14ac:dyDescent="0.25">
      <c r="A421" s="45"/>
      <c r="B421" s="11"/>
    </row>
    <row r="422" spans="1:2" x14ac:dyDescent="0.25">
      <c r="A422" s="44"/>
      <c r="B422" s="8"/>
    </row>
    <row r="423" spans="1:2" x14ac:dyDescent="0.25">
      <c r="A423" s="45"/>
      <c r="B423" s="11"/>
    </row>
    <row r="424" spans="1:2" x14ac:dyDescent="0.25">
      <c r="A424" s="44"/>
      <c r="B424" s="8"/>
    </row>
    <row r="425" spans="1:2" x14ac:dyDescent="0.25">
      <c r="A425" s="45"/>
      <c r="B425" s="11"/>
    </row>
    <row r="426" spans="1:2" x14ac:dyDescent="0.25">
      <c r="A426" s="44"/>
      <c r="B426" s="8"/>
    </row>
    <row r="427" spans="1:2" x14ac:dyDescent="0.25">
      <c r="A427" s="45"/>
      <c r="B427" s="11"/>
    </row>
    <row r="428" spans="1:2" x14ac:dyDescent="0.25">
      <c r="A428" s="44"/>
      <c r="B428" s="8"/>
    </row>
    <row r="429" spans="1:2" x14ac:dyDescent="0.25">
      <c r="A429" s="45"/>
      <c r="B429" s="11"/>
    </row>
    <row r="430" spans="1:2" x14ac:dyDescent="0.25">
      <c r="A430" s="44"/>
      <c r="B430" s="8"/>
    </row>
    <row r="431" spans="1:2" x14ac:dyDescent="0.25">
      <c r="A431" s="45"/>
      <c r="B431" s="11"/>
    </row>
    <row r="432" spans="1:2" x14ac:dyDescent="0.25">
      <c r="A432" s="44"/>
      <c r="B432" s="8"/>
    </row>
    <row r="433" spans="1:2" x14ac:dyDescent="0.25">
      <c r="A433" s="45"/>
      <c r="B433" s="11"/>
    </row>
    <row r="434" spans="1:2" x14ac:dyDescent="0.25">
      <c r="A434" s="44"/>
      <c r="B434" s="8"/>
    </row>
    <row r="435" spans="1:2" x14ac:dyDescent="0.25">
      <c r="A435" s="45"/>
      <c r="B435" s="11"/>
    </row>
    <row r="436" spans="1:2" x14ac:dyDescent="0.25">
      <c r="A436" s="44"/>
      <c r="B436" s="8"/>
    </row>
    <row r="437" spans="1:2" x14ac:dyDescent="0.25">
      <c r="A437" s="45"/>
      <c r="B437" s="11"/>
    </row>
    <row r="438" spans="1:2" x14ac:dyDescent="0.25">
      <c r="A438" s="44"/>
      <c r="B438" s="8"/>
    </row>
    <row r="439" spans="1:2" x14ac:dyDescent="0.25">
      <c r="A439" s="45"/>
      <c r="B439" s="11"/>
    </row>
    <row r="440" spans="1:2" x14ac:dyDescent="0.25">
      <c r="A440" s="44"/>
      <c r="B440" s="8"/>
    </row>
    <row r="441" spans="1:2" x14ac:dyDescent="0.25">
      <c r="A441" s="45"/>
      <c r="B441" s="11"/>
    </row>
    <row r="442" spans="1:2" x14ac:dyDescent="0.25">
      <c r="A442" s="44"/>
      <c r="B442" s="8"/>
    </row>
    <row r="443" spans="1:2" x14ac:dyDescent="0.25">
      <c r="A443" s="45"/>
      <c r="B443" s="11"/>
    </row>
    <row r="444" spans="1:2" x14ac:dyDescent="0.25">
      <c r="A444" s="44"/>
      <c r="B444" s="8"/>
    </row>
    <row r="445" spans="1:2" x14ac:dyDescent="0.25">
      <c r="A445" s="45"/>
      <c r="B445" s="11"/>
    </row>
    <row r="446" spans="1:2" x14ac:dyDescent="0.25">
      <c r="A446" s="44"/>
      <c r="B446" s="8"/>
    </row>
    <row r="447" spans="1:2" x14ac:dyDescent="0.25">
      <c r="A447" s="45"/>
      <c r="B447" s="11"/>
    </row>
    <row r="448" spans="1:2" x14ac:dyDescent="0.25">
      <c r="A448" s="44"/>
      <c r="B448" s="8"/>
    </row>
    <row r="449" spans="1:2" x14ac:dyDescent="0.25">
      <c r="A449" s="45"/>
      <c r="B449" s="11"/>
    </row>
    <row r="450" spans="1:2" x14ac:dyDescent="0.25">
      <c r="A450" s="44"/>
      <c r="B450" s="8"/>
    </row>
    <row r="451" spans="1:2" x14ac:dyDescent="0.25">
      <c r="A451" s="45"/>
      <c r="B451" s="11"/>
    </row>
    <row r="452" spans="1:2" x14ac:dyDescent="0.25">
      <c r="A452" s="44"/>
      <c r="B452" s="8"/>
    </row>
    <row r="453" spans="1:2" x14ac:dyDescent="0.25">
      <c r="A453" s="45"/>
      <c r="B453" s="11"/>
    </row>
    <row r="454" spans="1:2" x14ac:dyDescent="0.25">
      <c r="A454" s="44"/>
      <c r="B454" s="8"/>
    </row>
    <row r="455" spans="1:2" x14ac:dyDescent="0.25">
      <c r="A455" s="45"/>
      <c r="B455" s="11"/>
    </row>
    <row r="456" spans="1:2" x14ac:dyDescent="0.25">
      <c r="A456" s="44"/>
      <c r="B456" s="8"/>
    </row>
    <row r="457" spans="1:2" x14ac:dyDescent="0.25">
      <c r="A457" s="45"/>
      <c r="B457" s="11"/>
    </row>
    <row r="458" spans="1:2" x14ac:dyDescent="0.25">
      <c r="A458" s="44"/>
      <c r="B458" s="8"/>
    </row>
    <row r="459" spans="1:2" x14ac:dyDescent="0.25">
      <c r="A459" s="45"/>
      <c r="B459" s="11"/>
    </row>
    <row r="460" spans="1:2" x14ac:dyDescent="0.25">
      <c r="A460" s="44"/>
      <c r="B460" s="8"/>
    </row>
    <row r="461" spans="1:2" x14ac:dyDescent="0.25">
      <c r="A461" s="45"/>
      <c r="B461" s="11"/>
    </row>
    <row r="462" spans="1:2" x14ac:dyDescent="0.25">
      <c r="A462" s="44"/>
      <c r="B462" s="8"/>
    </row>
    <row r="463" spans="1:2" x14ac:dyDescent="0.25">
      <c r="A463" s="45"/>
      <c r="B463" s="11"/>
    </row>
    <row r="464" spans="1:2" x14ac:dyDescent="0.25">
      <c r="A464" s="44"/>
      <c r="B464" s="8"/>
    </row>
    <row r="465" spans="1:2" x14ac:dyDescent="0.25">
      <c r="A465" s="45"/>
      <c r="B465" s="11"/>
    </row>
    <row r="466" spans="1:2" x14ac:dyDescent="0.25">
      <c r="A466" s="44"/>
      <c r="B466" s="8"/>
    </row>
    <row r="467" spans="1:2" x14ac:dyDescent="0.25">
      <c r="A467" s="45"/>
      <c r="B467" s="11"/>
    </row>
    <row r="468" spans="1:2" x14ac:dyDescent="0.25">
      <c r="A468" s="44"/>
      <c r="B468" s="8"/>
    </row>
    <row r="469" spans="1:2" x14ac:dyDescent="0.25">
      <c r="A469" s="45"/>
      <c r="B469" s="11"/>
    </row>
    <row r="470" spans="1:2" x14ac:dyDescent="0.25">
      <c r="A470" s="44"/>
      <c r="B470" s="8"/>
    </row>
    <row r="471" spans="1:2" x14ac:dyDescent="0.25">
      <c r="A471" s="45"/>
      <c r="B471" s="11"/>
    </row>
    <row r="472" spans="1:2" x14ac:dyDescent="0.25">
      <c r="A472" s="44"/>
      <c r="B472" s="8"/>
    </row>
    <row r="473" spans="1:2" x14ac:dyDescent="0.25">
      <c r="A473" s="45"/>
      <c r="B473" s="11"/>
    </row>
    <row r="474" spans="1:2" x14ac:dyDescent="0.25">
      <c r="A474" s="44"/>
      <c r="B474" s="8"/>
    </row>
    <row r="475" spans="1:2" x14ac:dyDescent="0.25">
      <c r="A475" s="45"/>
      <c r="B475" s="11"/>
    </row>
    <row r="476" spans="1:2" x14ac:dyDescent="0.25">
      <c r="A476" s="44"/>
      <c r="B476" s="8"/>
    </row>
    <row r="477" spans="1:2" x14ac:dyDescent="0.25">
      <c r="A477" s="45"/>
      <c r="B477" s="11"/>
    </row>
    <row r="478" spans="1:2" x14ac:dyDescent="0.25">
      <c r="A478" s="44"/>
      <c r="B478" s="8"/>
    </row>
    <row r="479" spans="1:2" x14ac:dyDescent="0.25">
      <c r="A479" s="45"/>
      <c r="B479" s="11"/>
    </row>
    <row r="480" spans="1:2" x14ac:dyDescent="0.25">
      <c r="A480" s="44"/>
      <c r="B480" s="8"/>
    </row>
    <row r="481" spans="1:2" x14ac:dyDescent="0.25">
      <c r="A481" s="45"/>
      <c r="B481" s="11"/>
    </row>
    <row r="482" spans="1:2" x14ac:dyDescent="0.25">
      <c r="A482" s="44"/>
      <c r="B482" s="8"/>
    </row>
    <row r="483" spans="1:2" x14ac:dyDescent="0.25">
      <c r="A483" s="45"/>
      <c r="B483" s="11"/>
    </row>
    <row r="484" spans="1:2" x14ac:dyDescent="0.25">
      <c r="A484" s="44"/>
      <c r="B484" s="8"/>
    </row>
    <row r="485" spans="1:2" x14ac:dyDescent="0.25">
      <c r="A485" s="45"/>
      <c r="B485" s="11"/>
    </row>
    <row r="486" spans="1:2" x14ac:dyDescent="0.25">
      <c r="A486" s="44"/>
      <c r="B486" s="8"/>
    </row>
    <row r="487" spans="1:2" x14ac:dyDescent="0.25">
      <c r="A487" s="45"/>
      <c r="B487" s="11"/>
    </row>
    <row r="488" spans="1:2" x14ac:dyDescent="0.25">
      <c r="A488" s="44"/>
      <c r="B488" s="8"/>
    </row>
    <row r="489" spans="1:2" x14ac:dyDescent="0.25">
      <c r="A489" s="45"/>
      <c r="B489" s="11"/>
    </row>
    <row r="490" spans="1:2" x14ac:dyDescent="0.25">
      <c r="A490" s="44"/>
      <c r="B490" s="8"/>
    </row>
    <row r="491" spans="1:2" x14ac:dyDescent="0.25">
      <c r="A491" s="45"/>
      <c r="B491" s="11"/>
    </row>
    <row r="492" spans="1:2" x14ac:dyDescent="0.25">
      <c r="A492" s="44"/>
      <c r="B492" s="8"/>
    </row>
    <row r="493" spans="1:2" x14ac:dyDescent="0.25">
      <c r="A493" s="45"/>
      <c r="B493" s="11"/>
    </row>
    <row r="494" spans="1:2" x14ac:dyDescent="0.25">
      <c r="A494" s="44"/>
      <c r="B494" s="8"/>
    </row>
    <row r="495" spans="1:2" x14ac:dyDescent="0.25">
      <c r="A495" s="45"/>
      <c r="B495" s="11"/>
    </row>
    <row r="496" spans="1:2" x14ac:dyDescent="0.25">
      <c r="A496" s="44"/>
      <c r="B496" s="8"/>
    </row>
    <row r="497" spans="1:2" x14ac:dyDescent="0.25">
      <c r="A497" s="45"/>
      <c r="B497" s="11"/>
    </row>
    <row r="498" spans="1:2" x14ac:dyDescent="0.25">
      <c r="A498" s="44"/>
      <c r="B498" s="8"/>
    </row>
    <row r="499" spans="1:2" x14ac:dyDescent="0.25">
      <c r="A499" s="45"/>
      <c r="B499" s="11"/>
    </row>
    <row r="500" spans="1:2" x14ac:dyDescent="0.25">
      <c r="A500" s="44"/>
      <c r="B500" s="8"/>
    </row>
    <row r="501" spans="1:2" x14ac:dyDescent="0.25">
      <c r="A501" s="45"/>
      <c r="B501" s="11"/>
    </row>
    <row r="502" spans="1:2" x14ac:dyDescent="0.25">
      <c r="A502" s="44"/>
      <c r="B502" s="8"/>
    </row>
    <row r="503" spans="1:2" x14ac:dyDescent="0.25">
      <c r="A503" s="45"/>
      <c r="B503" s="11"/>
    </row>
    <row r="504" spans="1:2" x14ac:dyDescent="0.25">
      <c r="A504" s="44"/>
      <c r="B504" s="8"/>
    </row>
    <row r="505" spans="1:2" x14ac:dyDescent="0.25">
      <c r="A505" s="45"/>
      <c r="B505" s="11"/>
    </row>
    <row r="506" spans="1:2" x14ac:dyDescent="0.25">
      <c r="A506" s="44"/>
      <c r="B506" s="8"/>
    </row>
    <row r="507" spans="1:2" x14ac:dyDescent="0.25">
      <c r="A507" s="45"/>
      <c r="B507" s="11"/>
    </row>
    <row r="508" spans="1:2" x14ac:dyDescent="0.25">
      <c r="A508" s="44"/>
      <c r="B508" s="8"/>
    </row>
    <row r="509" spans="1:2" x14ac:dyDescent="0.25">
      <c r="A509" s="45"/>
      <c r="B509" s="11"/>
    </row>
    <row r="510" spans="1:2" x14ac:dyDescent="0.25">
      <c r="A510" s="44"/>
      <c r="B510" s="8"/>
    </row>
    <row r="511" spans="1:2" x14ac:dyDescent="0.25">
      <c r="A511" s="45"/>
      <c r="B511" s="11"/>
    </row>
    <row r="512" spans="1:2" x14ac:dyDescent="0.25">
      <c r="A512" s="44"/>
      <c r="B512" s="8"/>
    </row>
    <row r="513" spans="1:2" x14ac:dyDescent="0.25">
      <c r="A513" s="45"/>
      <c r="B513" s="11"/>
    </row>
    <row r="514" spans="1:2" x14ac:dyDescent="0.25">
      <c r="A514" s="44"/>
      <c r="B514" s="8"/>
    </row>
    <row r="515" spans="1:2" x14ac:dyDescent="0.25">
      <c r="A515" s="45"/>
      <c r="B515" s="11"/>
    </row>
    <row r="516" spans="1:2" x14ac:dyDescent="0.25">
      <c r="A516" s="44"/>
      <c r="B516" s="8"/>
    </row>
    <row r="517" spans="1:2" x14ac:dyDescent="0.25">
      <c r="A517" s="45"/>
      <c r="B517" s="11"/>
    </row>
    <row r="518" spans="1:2" x14ac:dyDescent="0.25">
      <c r="A518" s="44"/>
      <c r="B518" s="8"/>
    </row>
    <row r="519" spans="1:2" x14ac:dyDescent="0.25">
      <c r="A519" s="45"/>
      <c r="B519" s="11"/>
    </row>
    <row r="520" spans="1:2" x14ac:dyDescent="0.25">
      <c r="A520" s="44"/>
      <c r="B520" s="8"/>
    </row>
    <row r="521" spans="1:2" x14ac:dyDescent="0.25">
      <c r="A521" s="45"/>
      <c r="B521" s="11"/>
    </row>
    <row r="522" spans="1:2" x14ac:dyDescent="0.25">
      <c r="A522" s="44"/>
      <c r="B522" s="8"/>
    </row>
    <row r="523" spans="1:2" x14ac:dyDescent="0.25">
      <c r="A523" s="45"/>
      <c r="B523" s="11"/>
    </row>
    <row r="524" spans="1:2" x14ac:dyDescent="0.25">
      <c r="A524" s="44"/>
      <c r="B524" s="8"/>
    </row>
    <row r="525" spans="1:2" x14ac:dyDescent="0.25">
      <c r="A525" s="45"/>
      <c r="B525" s="11"/>
    </row>
    <row r="526" spans="1:2" x14ac:dyDescent="0.25">
      <c r="A526" s="44"/>
      <c r="B526" s="8"/>
    </row>
    <row r="527" spans="1:2" x14ac:dyDescent="0.25">
      <c r="A527" s="45"/>
      <c r="B527" s="11"/>
    </row>
    <row r="528" spans="1:2" x14ac:dyDescent="0.25">
      <c r="A528" s="44"/>
      <c r="B528" s="8"/>
    </row>
    <row r="529" spans="1:2" x14ac:dyDescent="0.25">
      <c r="A529" s="45"/>
      <c r="B529" s="11"/>
    </row>
    <row r="530" spans="1:2" x14ac:dyDescent="0.25">
      <c r="A530" s="44"/>
      <c r="B530" s="8"/>
    </row>
    <row r="531" spans="1:2" x14ac:dyDescent="0.25">
      <c r="A531" s="45"/>
      <c r="B531" s="11"/>
    </row>
    <row r="532" spans="1:2" x14ac:dyDescent="0.25">
      <c r="A532" s="44"/>
      <c r="B532" s="8"/>
    </row>
    <row r="533" spans="1:2" x14ac:dyDescent="0.25">
      <c r="A533" s="45"/>
      <c r="B533" s="11"/>
    </row>
    <row r="534" spans="1:2" x14ac:dyDescent="0.25">
      <c r="A534" s="44"/>
      <c r="B534" s="8"/>
    </row>
    <row r="535" spans="1:2" x14ac:dyDescent="0.25">
      <c r="A535" s="45"/>
      <c r="B535" s="11"/>
    </row>
    <row r="536" spans="1:2" x14ac:dyDescent="0.25">
      <c r="A536" s="44"/>
      <c r="B536" s="8"/>
    </row>
    <row r="537" spans="1:2" x14ac:dyDescent="0.25">
      <c r="A537" s="45"/>
      <c r="B537" s="11"/>
    </row>
    <row r="538" spans="1:2" x14ac:dyDescent="0.25">
      <c r="A538" s="44"/>
      <c r="B538" s="8"/>
    </row>
    <row r="539" spans="1:2" x14ac:dyDescent="0.25">
      <c r="A539" s="45"/>
      <c r="B539" s="11"/>
    </row>
    <row r="540" spans="1:2" x14ac:dyDescent="0.25">
      <c r="A540" s="44"/>
      <c r="B540" s="8"/>
    </row>
    <row r="541" spans="1:2" x14ac:dyDescent="0.25">
      <c r="A541" s="45"/>
      <c r="B541" s="11"/>
    </row>
    <row r="542" spans="1:2" x14ac:dyDescent="0.25">
      <c r="A542" s="44"/>
      <c r="B542" s="8"/>
    </row>
    <row r="543" spans="1:2" x14ac:dyDescent="0.25">
      <c r="A543" s="45"/>
      <c r="B543" s="11"/>
    </row>
    <row r="544" spans="1:2" x14ac:dyDescent="0.25">
      <c r="A544" s="44"/>
      <c r="B544" s="8"/>
    </row>
    <row r="545" spans="1:2" x14ac:dyDescent="0.25">
      <c r="A545" s="45"/>
      <c r="B545" s="11"/>
    </row>
    <row r="546" spans="1:2" x14ac:dyDescent="0.25">
      <c r="A546" s="44"/>
      <c r="B546" s="8"/>
    </row>
    <row r="547" spans="1:2" x14ac:dyDescent="0.25">
      <c r="A547" s="45"/>
      <c r="B547" s="11"/>
    </row>
    <row r="548" spans="1:2" x14ac:dyDescent="0.25">
      <c r="A548" s="44"/>
      <c r="B548" s="8"/>
    </row>
    <row r="549" spans="1:2" x14ac:dyDescent="0.25">
      <c r="A549" s="45"/>
      <c r="B549" s="11"/>
    </row>
    <row r="550" spans="1:2" x14ac:dyDescent="0.25">
      <c r="A550" s="44"/>
      <c r="B550" s="8"/>
    </row>
    <row r="551" spans="1:2" x14ac:dyDescent="0.25">
      <c r="A551" s="45"/>
      <c r="B551" s="11"/>
    </row>
    <row r="552" spans="1:2" x14ac:dyDescent="0.25">
      <c r="A552" s="44"/>
      <c r="B552" s="8"/>
    </row>
    <row r="553" spans="1:2" x14ac:dyDescent="0.25">
      <c r="A553" s="45"/>
      <c r="B553" s="11"/>
    </row>
    <row r="554" spans="1:2" x14ac:dyDescent="0.25">
      <c r="A554" s="44"/>
      <c r="B554" s="8"/>
    </row>
    <row r="555" spans="1:2" x14ac:dyDescent="0.25">
      <c r="A555" s="45"/>
      <c r="B555" s="11"/>
    </row>
    <row r="556" spans="1:2" x14ac:dyDescent="0.25">
      <c r="A556" s="44"/>
      <c r="B556" s="8"/>
    </row>
    <row r="557" spans="1:2" x14ac:dyDescent="0.25">
      <c r="A557" s="45"/>
      <c r="B557" s="11"/>
    </row>
    <row r="558" spans="1:2" x14ac:dyDescent="0.25">
      <c r="A558" s="44"/>
      <c r="B558" s="8"/>
    </row>
    <row r="559" spans="1:2" x14ac:dyDescent="0.25">
      <c r="A559" s="45"/>
      <c r="B559" s="11"/>
    </row>
    <row r="560" spans="1:2" x14ac:dyDescent="0.25">
      <c r="A560" s="44"/>
      <c r="B560" s="8"/>
    </row>
    <row r="561" spans="1:2" x14ac:dyDescent="0.25">
      <c r="A561" s="45"/>
      <c r="B561" s="11"/>
    </row>
    <row r="562" spans="1:2" x14ac:dyDescent="0.25">
      <c r="A562" s="44"/>
      <c r="B562" s="8"/>
    </row>
    <row r="563" spans="1:2" x14ac:dyDescent="0.25">
      <c r="A563" s="45"/>
      <c r="B563" s="11"/>
    </row>
    <row r="564" spans="1:2" x14ac:dyDescent="0.25">
      <c r="A564" s="44"/>
      <c r="B564" s="8"/>
    </row>
    <row r="565" spans="1:2" x14ac:dyDescent="0.25">
      <c r="A565" s="45"/>
      <c r="B565" s="11"/>
    </row>
    <row r="566" spans="1:2" x14ac:dyDescent="0.25">
      <c r="A566" s="44"/>
      <c r="B566" s="8"/>
    </row>
    <row r="567" spans="1:2" x14ac:dyDescent="0.25">
      <c r="A567" s="45"/>
      <c r="B567" s="11"/>
    </row>
    <row r="568" spans="1:2" x14ac:dyDescent="0.25">
      <c r="A568" s="44"/>
      <c r="B568" s="8"/>
    </row>
    <row r="569" spans="1:2" x14ac:dyDescent="0.25">
      <c r="A569" s="45"/>
      <c r="B569" s="11"/>
    </row>
    <row r="570" spans="1:2" x14ac:dyDescent="0.25">
      <c r="A570" s="44"/>
      <c r="B570" s="8"/>
    </row>
    <row r="571" spans="1:2" x14ac:dyDescent="0.25">
      <c r="A571" s="45"/>
      <c r="B571" s="11"/>
    </row>
    <row r="572" spans="1:2" x14ac:dyDescent="0.25">
      <c r="A572" s="44"/>
      <c r="B572" s="8"/>
    </row>
    <row r="573" spans="1:2" x14ac:dyDescent="0.25">
      <c r="A573" s="45"/>
      <c r="B573" s="11"/>
    </row>
    <row r="574" spans="1:2" x14ac:dyDescent="0.25">
      <c r="A574" s="44"/>
      <c r="B574" s="8"/>
    </row>
    <row r="575" spans="1:2" x14ac:dyDescent="0.25">
      <c r="A575" s="45"/>
      <c r="B575" s="11"/>
    </row>
    <row r="576" spans="1:2" x14ac:dyDescent="0.25">
      <c r="A576" s="44"/>
      <c r="B576" s="8"/>
    </row>
    <row r="577" spans="1:2" x14ac:dyDescent="0.25">
      <c r="A577" s="45"/>
      <c r="B577" s="11"/>
    </row>
    <row r="578" spans="1:2" x14ac:dyDescent="0.25">
      <c r="A578" s="44"/>
      <c r="B578" s="8"/>
    </row>
    <row r="579" spans="1:2" x14ac:dyDescent="0.25">
      <c r="A579" s="45"/>
      <c r="B579" s="11"/>
    </row>
    <row r="580" spans="1:2" x14ac:dyDescent="0.25">
      <c r="A580" s="44"/>
      <c r="B580" s="8"/>
    </row>
  </sheetData>
  <dataConsolidate/>
  <mergeCells count="6">
    <mergeCell ref="A1:M1"/>
    <mergeCell ref="D24:F24"/>
    <mergeCell ref="A2:H2"/>
    <mergeCell ref="B41:F41"/>
    <mergeCell ref="G41:K41"/>
    <mergeCell ref="A24:B24"/>
  </mergeCells>
  <phoneticPr fontId="12" type="noConversion"/>
  <conditionalFormatting sqref="G4:G5">
    <cfRule type="cellIs" dxfId="39" priority="32" operator="lessThan">
      <formula>0</formula>
    </cfRule>
    <cfRule type="cellIs" dxfId="38" priority="33" operator="greaterThan">
      <formula>0</formula>
    </cfRule>
  </conditionalFormatting>
  <conditionalFormatting sqref="K43">
    <cfRule type="cellIs" dxfId="37" priority="28" operator="lessThan">
      <formula>$P$43</formula>
    </cfRule>
    <cfRule type="cellIs" dxfId="36" priority="31" operator="greaterThan">
      <formula>$P$43</formula>
    </cfRule>
  </conditionalFormatting>
  <conditionalFormatting sqref="K44">
    <cfRule type="cellIs" dxfId="35" priority="26" operator="lessThan">
      <formula>$P$44</formula>
    </cfRule>
    <cfRule type="cellIs" dxfId="34" priority="27" operator="greaterThan">
      <formula>$P$44</formula>
    </cfRule>
    <cfRule type="cellIs" dxfId="33" priority="30" operator="lessThan">
      <formula>$P$43</formula>
    </cfRule>
  </conditionalFormatting>
  <conditionalFormatting sqref="K45">
    <cfRule type="cellIs" dxfId="32" priority="24" operator="lessThan">
      <formula>P45</formula>
    </cfRule>
    <cfRule type="cellIs" dxfId="31" priority="25" operator="greaterThan">
      <formula>P45</formula>
    </cfRule>
  </conditionalFormatting>
  <conditionalFormatting sqref="K46">
    <cfRule type="cellIs" dxfId="30" priority="22" operator="lessThan">
      <formula>P46</formula>
    </cfRule>
    <cfRule type="cellIs" dxfId="29" priority="23" operator="greaterThan">
      <formula>P46</formula>
    </cfRule>
  </conditionalFormatting>
  <conditionalFormatting sqref="K47">
    <cfRule type="cellIs" dxfId="28" priority="20" operator="lessThan">
      <formula>P47</formula>
    </cfRule>
    <cfRule type="cellIs" dxfId="27" priority="21" operator="greaterThan">
      <formula>P47</formula>
    </cfRule>
  </conditionalFormatting>
  <conditionalFormatting sqref="K48">
    <cfRule type="cellIs" dxfId="26" priority="18" operator="lessThan">
      <formula>P48</formula>
    </cfRule>
    <cfRule type="cellIs" dxfId="25" priority="19" operator="greaterThan">
      <formula>P48</formula>
    </cfRule>
  </conditionalFormatting>
  <conditionalFormatting sqref="K49">
    <cfRule type="cellIs" dxfId="24" priority="16" operator="lessThan">
      <formula>P49</formula>
    </cfRule>
    <cfRule type="cellIs" dxfId="23" priority="17" operator="greaterThan">
      <formula>P49</formula>
    </cfRule>
  </conditionalFormatting>
  <conditionalFormatting sqref="F49">
    <cfRule type="cellIs" dxfId="22" priority="1" operator="lessThan">
      <formula>K49</formula>
    </cfRule>
    <cfRule type="cellIs" dxfId="21" priority="2" operator="greaterThan">
      <formula>K49</formula>
    </cfRule>
  </conditionalFormatting>
  <conditionalFormatting sqref="F43">
    <cfRule type="cellIs" dxfId="20" priority="13" operator="lessThan">
      <formula>$P$43</formula>
    </cfRule>
    <cfRule type="cellIs" dxfId="19" priority="15" operator="greaterThan">
      <formula>$P$43</formula>
    </cfRule>
  </conditionalFormatting>
  <conditionalFormatting sqref="F44">
    <cfRule type="cellIs" dxfId="18" priority="11" operator="lessThan">
      <formula>$P$44</formula>
    </cfRule>
    <cfRule type="cellIs" dxfId="17" priority="12" operator="greaterThan">
      <formula>$P$44</formula>
    </cfRule>
    <cfRule type="cellIs" dxfId="16" priority="14" operator="lessThan">
      <formula>$P$43</formula>
    </cfRule>
  </conditionalFormatting>
  <conditionalFormatting sqref="F45">
    <cfRule type="cellIs" dxfId="15" priority="9" operator="lessThan">
      <formula>K45</formula>
    </cfRule>
    <cfRule type="cellIs" dxfId="14" priority="10" operator="greaterThan">
      <formula>K45</formula>
    </cfRule>
  </conditionalFormatting>
  <conditionalFormatting sqref="F46">
    <cfRule type="cellIs" dxfId="13" priority="7" operator="lessThan">
      <formula>K46</formula>
    </cfRule>
    <cfRule type="cellIs" dxfId="12" priority="8" operator="greaterThan">
      <formula>K46</formula>
    </cfRule>
  </conditionalFormatting>
  <conditionalFormatting sqref="F47">
    <cfRule type="cellIs" dxfId="11" priority="5" operator="lessThan">
      <formula>K47</formula>
    </cfRule>
    <cfRule type="cellIs" dxfId="10" priority="6" operator="greaterThan">
      <formula>K47</formula>
    </cfRule>
  </conditionalFormatting>
  <conditionalFormatting sqref="F48">
    <cfRule type="cellIs" dxfId="9" priority="3" operator="lessThan">
      <formula>K48</formula>
    </cfRule>
    <cfRule type="cellIs" dxfId="8" priority="4" operator="greaterThan">
      <formula>K48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sert_New_Year" altText="Insert New Year">
                <anchor moveWithCells="1" sizeWithCells="1">
                  <from>
                    <xdr:col>1</xdr:col>
                    <xdr:colOff>9525</xdr:colOff>
                    <xdr:row>34</xdr:row>
                    <xdr:rowOff>180975</xdr:rowOff>
                  </from>
                  <to>
                    <xdr:col>2</xdr:col>
                    <xdr:colOff>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Insert_New_Dividends">
                <anchor moveWithCells="1" sizeWithCells="1">
                  <from>
                    <xdr:col>3</xdr:col>
                    <xdr:colOff>0</xdr:colOff>
                    <xdr:row>35</xdr:row>
                    <xdr:rowOff>9525</xdr:rowOff>
                  </from>
                  <to>
                    <xdr:col>4</xdr:col>
                    <xdr:colOff>714375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utton 18">
              <controlPr defaultSize="0" print="0" autoFill="0" autoPict="0" macro="[0]!New_Purchase">
                <anchor moveWithCells="1" sizeWithCells="1">
                  <from>
                    <xdr:col>4</xdr:col>
                    <xdr:colOff>1514475</xdr:colOff>
                    <xdr:row>35</xdr:row>
                    <xdr:rowOff>9525</xdr:rowOff>
                  </from>
                  <to>
                    <xdr:col>6</xdr:col>
                    <xdr:colOff>676275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Button 19">
              <controlPr defaultSize="0" print="0" autoFill="0" autoPict="0" macro="[0]!EnterStock">
                <anchor moveWithCells="1" sizeWithCells="1">
                  <from>
                    <xdr:col>8</xdr:col>
                    <xdr:colOff>914400</xdr:colOff>
                    <xdr:row>3</xdr:row>
                    <xdr:rowOff>9525</xdr:rowOff>
                  </from>
                  <to>
                    <xdr:col>10</xdr:col>
                    <xdr:colOff>333375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5">
    <tablePart r:id="rId7"/>
    <tablePart r:id="rId8"/>
    <tablePart r:id="rId9"/>
    <tablePart r:id="rId10"/>
    <tablePart r:id="rId11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F3C3FB63-7794-F54C-BF2A-E094F42426FB}">
          <xm:f>Stock_1!$E$4</xm:f>
        </x15:webExtension>
      </x15:webExtens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Summary</vt:lpstr>
      <vt:lpstr>Stock_1</vt:lpstr>
      <vt:lpstr>Dividend_Share_Dates</vt:lpstr>
      <vt:lpstr>Dividend_Share_Div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Herr</dc:creator>
  <cp:keywords/>
  <dc:description/>
  <cp:lastModifiedBy>Trevor Herr</cp:lastModifiedBy>
  <dcterms:created xsi:type="dcterms:W3CDTF">2021-02-20T17:05:42Z</dcterms:created>
  <dcterms:modified xsi:type="dcterms:W3CDTF">2021-08-29T03:02:23Z</dcterms:modified>
  <cp:category/>
</cp:coreProperties>
</file>